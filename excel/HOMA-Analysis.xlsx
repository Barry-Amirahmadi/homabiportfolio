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bc4c1483e344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خلاصه" sheetId="1" r:id="R640050b1e6da4c22"/>
    <x:sheet xmlns:r="http://schemas.openxmlformats.org/officeDocument/2006/relationships" name="پروژه‌ها" sheetId="2" r:id="R565c27c76dee43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;(#,##0.0);&quot;-&quot;"/>
    <x:numFmt numFmtId="201" formatCode="0.0%;(0.0%);&quot;-&quot;"/>
    <x:numFmt numFmtId="202" formatCode="#,##0.0"/>
    <x:numFmt numFmtId="203" formatCode="0.00"/>
  </x:numFmts>
  <x:fonts count="5">
    <x:font>
      <x:sz val="11"/>
      <x:name val="Carlito"/>
    </x:font>
    <x:font>
      <x:sz val="11"/>
      <x:color rgb="FF19334B"/>
      <x:name val="Arial"/>
    </x:font>
    <x:font>
      <x:b/>
      <x:sz val="17"/>
      <x:color rgb="FF19334B"/>
      <x:name val="Arial"/>
    </x:font>
    <x:font>
      <x:b/>
      <x:sz val="11"/>
      <x:color rgb="FFFFFFFF"/>
      <x:name val="Arial"/>
    </x:font>
    <x:font>
      <x:sz val="11"/>
      <x:color rgb="FF2563B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C57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4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1">
    <x:dxf>
      <x:font>
        <x:b/>
        <x:color rgb="FF9A3846"/>
      </x:font>
      <x:fill>
        <x:patternFill patternType="solid">
          <x:bgColor rgb="FFFBE8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3ad791fb5143d5" /><Relationship Type="http://schemas.openxmlformats.org/officeDocument/2006/relationships/theme" Target="/xl/theme/theme1.xml" Id="R98fa3c8b83e14e9d" /><Relationship Type="http://schemas.openxmlformats.org/officeDocument/2006/relationships/sharedStrings" Target="/xl/sharedStrings.xml" Id="R0e2e461237c34d3c" /><Relationship Type="http://schemas.openxmlformats.org/officeDocument/2006/relationships/worksheet" Target="/xl/worksheets/sheet1.xml" Id="R640050b1e6da4c22" /><Relationship Type="http://schemas.openxmlformats.org/officeDocument/2006/relationships/worksheet" Target="/xl/worksheets/sheet2.xml" Id="R565c27c76dee43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C57"/>
  </x:sheetPr>
  <x:sheetViews>
    <x:sheetView showGridLines="0" workbookViewId="0"/>
  </x:sheetViews>
  <x:sheetFormatPr defaultRowHeight="15"/>
  <x:cols>
    <x:col min="1" max="1" width="27" hidden="0" customWidth="1"/>
    <x:col min="2" max="2" width="19" hidden="0" customWidth="1"/>
    <x:col min="3" max="3" width="30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7" customHeight="1">
      <x:c r="A1" s="3"/>
      <x:c r="B1" s="3"/>
      <x:c r="C1" s="3"/>
      <x:c r="D1" s="3"/>
      <x:c r="E1" s="3"/>
      <x:c r="F1" s="3"/>
    </x:row>
    <x:row r="2" ht="27" customHeight="1">
      <x:c r="A2" s="4" t="str">
        <x:v>هُما؛ خلاصهٔ عملکرد</x:v>
      </x:c>
      <x:c r="B2" s="3"/>
      <x:c r="C2" s="3"/>
      <x:c r="D2" s="3"/>
      <x:c r="E2" s="3"/>
      <x:c r="F2" s="3"/>
    </x:row>
    <x:row r="3" ht="27" customHeight="1">
      <x:c r="A3" s="3" t="str">
        <x:v>دادهٔ فرضی؛ مبالغ جدول به میلیارد تومان</x:v>
      </x:c>
      <x:c r="B3" s="3"/>
      <x:c r="C3" s="3"/>
      <x:c r="D3" s="3"/>
      <x:c r="E3" s="3"/>
      <x:c r="F3" s="3"/>
    </x:row>
    <x:row r="4" ht="27" customHeight="1">
      <x:c r="A4" s="3"/>
      <x:c r="B4" s="3"/>
      <x:c r="C4" s="3"/>
      <x:c r="D4" s="3"/>
      <x:c r="E4" s="3"/>
      <x:c r="F4" s="3"/>
    </x:row>
    <x:row r="5" ht="36" customHeight="1">
      <x:c r="A5" s="7" t="str">
        <x:v>سال شمسی</x:v>
      </x:c>
      <x:c r="B5" s="7" t="str">
        <x:v>درآمد</x:v>
      </x:c>
      <x:c r="C5" s="7" t="str">
        <x:v>هزینهٔ پروژه</x:v>
      </x:c>
      <x:c r="D5" s="7" t="str">
        <x:v>سود پروژه</x:v>
      </x:c>
      <x:c r="E5" s="7" t="str">
        <x:v>حاشیهٔ پروژه</x:v>
      </x:c>
      <x:c r="F5" s="7" t="str">
        <x:v>رشد درآمد</x:v>
      </x:c>
    </x:row>
    <x:row r="6" ht="27" customHeight="1">
      <x:c r="A6" s="3" t="n">
        <x:v>1402</x:v>
      </x:c>
      <x:c r="B6" s="9" t="n">
        <x:v>42823.295242842</x:v>
      </x:c>
      <x:c r="C6" s="9" t="n">
        <x:v>31453.336056864</x:v>
      </x:c>
      <x:c r="D6" s="10" t="n">
        <x:f>B6-C6</x:f>
        <x:v>11369.959185978005</x:v>
      </x:c>
      <x:c r="E6" s="11" t="n">
        <x:f>IF(B6=0,"n.a.",D6/B6)</x:f>
        <x:v>0.2655087405465023</x:v>
      </x:c>
      <x:c r="F6" s="11" t="str">
        <x:f>"n.a."</x:f>
        <x:v>n.a.</x:v>
      </x:c>
    </x:row>
    <x:row r="7" ht="27" customHeight="1">
      <x:c r="A7" s="3" t="n">
        <x:v>1403</x:v>
      </x:c>
      <x:c r="B7" s="9" t="n">
        <x:v>72527.539393208</x:v>
      </x:c>
      <x:c r="C7" s="9" t="n">
        <x:v>55363.434133002</x:v>
      </x:c>
      <x:c r="D7" s="10" t="n">
        <x:f>B7-C7</x:f>
        <x:v>17164.105260206</x:v>
      </x:c>
      <x:c r="E7" s="11" t="n">
        <x:f>IF(B7=0,"n.a.",D7/B7)</x:f>
        <x:v>0.2366563846479172</x:v>
      </x:c>
      <x:c r="F7" s="11" t="n">
        <x:f>IF(B6=0,"n.a.",B7/B6-1)</x:f>
        <x:v>0.6936468569716414</x:v>
      </x:c>
    </x:row>
    <x:row r="8" ht="27" customHeight="1">
      <x:c r="A8" s="3" t="n">
        <x:v>1404</x:v>
      </x:c>
      <x:c r="B8" s="9" t="n">
        <x:v>64879.216898302</x:v>
      </x:c>
      <x:c r="C8" s="9" t="n">
        <x:v>52813.549309459</x:v>
      </x:c>
      <x:c r="D8" s="10" t="n">
        <x:f>B8-C8</x:f>
        <x:v>12065.667588843004</x:v>
      </x:c>
      <x:c r="E8" s="11" t="n">
        <x:f>IF(B8=0,"n.a.",D8/B8)</x:f>
        <x:v>0.18597122723839138</x:v>
      </x:c>
      <x:c r="F8" s="11" t="n">
        <x:f>IF(B7=0,"n.a.",B8/B7-1)</x:f>
        <x:v>-0.10545404626841992</x:v>
      </x:c>
    </x:row>
    <x:row r="9" ht="27" customHeight="1">
      <x:c r="A9" s="3"/>
      <x:c r="B9" s="3"/>
      <x:c r="C9" s="3"/>
      <x:c r="D9" s="3"/>
      <x:c r="E9" s="3"/>
      <x:c r="F9" s="3"/>
    </x:row>
    <x:row r="10" ht="27" customHeight="1">
      <x:c r="A10" s="3"/>
      <x:c r="B10" s="3"/>
      <x:c r="C10" s="3"/>
      <x:c r="D10" s="3"/>
      <x:c r="E10" s="3"/>
      <x:c r="F10" s="3"/>
    </x:row>
    <x:row r="11" ht="36" customHeight="1">
      <x:c r="A11" s="7" t="str">
        <x:v>مانده در پایان ۱۴۰۴</x:v>
      </x:c>
      <x:c r="B11" s="7" t="str">
        <x:v>میلیارد تومان</x:v>
      </x:c>
      <x:c r="C11" s="7" t="str">
        <x:v>توضیح</x:v>
      </x:c>
      <x:c r="D11" s="3"/>
      <x:c r="E11" s="3"/>
      <x:c r="F11" s="3"/>
    </x:row>
    <x:row r="12" ht="27" customHeight="1">
      <x:c r="A12" s="3" t="str">
        <x:v>نقد برآوردی</x:v>
      </x:c>
      <x:c r="B12" s="13" t="n">
        <x:v>22270.397120231</x:v>
      </x:c>
      <x:c r="C12" s="3" t="str">
        <x:v>افتتاحیه + خالص جریان</x:v>
      </x:c>
      <x:c r="D12" s="3"/>
      <x:c r="E12" s="3"/>
      <x:c r="F12" s="3"/>
    </x:row>
    <x:row r="13" ht="27" customHeight="1">
      <x:c r="A13" s="3" t="str">
        <x:v>مطالبات</x:v>
      </x:c>
      <x:c r="B13" s="13" t="n">
        <x:v>15792.453492266</x:v>
      </x:c>
      <x:c r="C13" s="3" t="str">
        <x:v>صورت‌وضعیت منهای وصول</x:v>
      </x:c>
      <x:c r="D13" s="3"/>
      <x:c r="E13" s="3"/>
      <x:c r="F13" s="3"/>
    </x:row>
    <x:row r="14" ht="27" customHeight="1">
      <x:c r="A14" s="3" t="str">
        <x:v>مطالبات معوق</x:v>
      </x:c>
      <x:c r="B14" s="13" t="n">
        <x:v>8120.824289247</x:v>
      </x:c>
      <x:c r="C14" s="3" t="str">
        <x:v>سررسید قبل از تاریخ برش</x:v>
      </x:c>
      <x:c r="D14" s="3"/>
      <x:c r="E14" s="3"/>
      <x:c r="F14" s="3"/>
    </x:row>
    <x:row r="15" ht="27" customHeight="1">
      <x:c r="A15" s="3" t="str">
        <x:v>موجودی مصالح</x:v>
      </x:c>
      <x:c r="B15" s="13" t="n">
        <x:v>3417.494786079</x:v>
      </x:c>
      <x:c r="C15" s="3" t="str">
        <x:v>ورود منهای مصرف</x:v>
      </x:c>
      <x:c r="D15" s="3"/>
      <x:c r="E15" s="3"/>
      <x:c r="F15" s="3"/>
    </x:row>
    <x:row r="16" ht="27" customHeight="1">
      <x:c r="A16" s="3"/>
      <x:c r="B16" s="3"/>
      <x:c r="C16" s="3"/>
      <x:c r="D16" s="3"/>
      <x:c r="E16" s="3"/>
      <x:c r="F16" s="3"/>
    </x:row>
    <x:row r="17" ht="27" customHeight="1">
      <x:c r="A17" s="3"/>
      <x:c r="B17" s="3"/>
      <x:c r="C17" s="3"/>
      <x:c r="D17" s="3"/>
      <x:c r="E17" s="3"/>
      <x:c r="F17" s="3"/>
    </x:row>
    <x:row r="18" ht="27" customHeight="1">
      <x:c r="A18" s="3" t="str">
        <x:v>تعداد پروژه‌ها</x:v>
      </x:c>
      <x:c r="B18" s="3" t="n">
        <x:f>COUNTA('پروژه‌ها'!A9:A68)</x:f>
        <x:v>60</x:v>
      </x:c>
      <x:c r="C18" s="3"/>
      <x:c r="D18" s="3"/>
      <x:c r="E18" s="3"/>
      <x:c r="F18" s="3"/>
    </x:row>
    <x:row r="19" ht="27" customHeight="1">
      <x:c r="A19" s="3" t="str">
        <x:v>نیازمند بازبینی</x:v>
      </x:c>
      <x:c r="B19" s="3" t="n">
        <x:f>COUNTIF('پروژه‌ها'!K9:K68,"بازبینی")</x:f>
        <x:v>6</x:v>
      </x:c>
      <x:c r="C19" s="3"/>
      <x:c r="D19" s="3"/>
      <x:c r="E19" s="3"/>
      <x:c r="F19" s="3"/>
    </x:row>
    <x:row r="20" ht="27" customHeight="1">
      <x:c r="A20" s="3"/>
      <x:c r="B20" s="3"/>
      <x:c r="C20" s="3"/>
      <x:c r="D20" s="3"/>
      <x:c r="E20" s="3"/>
      <x:c r="F20" s="3"/>
    </x:row>
    <x:row r="21" ht="27" customHeight="1">
      <x:c r="A21" s="3" t="str">
        <x:v>مبنای داده: SQLite پروژهٔ هُما؛ تاریخ برش ۱۴۰۴/۱۲/۲۹</x:v>
      </x:c>
      <x:c r="B21" s="3"/>
      <x:c r="C21" s="3"/>
      <x:c r="D21" s="3"/>
      <x:c r="E21" s="3"/>
      <x:c r="F21" s="3"/>
    </x:row>
    <x:row r="22" ht="27" customHeight="1">
      <x:c r="A22" s="3" t="str">
        <x:v>سود پروژه قبل از مالیات و تأمین مالی است. مانده‌ها تاریخی نیستند.</x:v>
      </x:c>
      <x:c r="B22" s="3"/>
      <x:c r="C22" s="3"/>
      <x:c r="D22" s="3"/>
      <x:c r="E22" s="3"/>
      <x:c r="F22" s="3"/>
    </x:row>
    <x:row r="23" ht="27" customHeight="1">
      <x:c r="A23" s="3" t="str">
        <x:v>اعداد آبی ورودی‌اند؛ تغییر آن‌ها فرمول‌ها را محاسبه می‌کند.</x:v>
      </x:c>
      <x:c r="B23" s="3"/>
      <x:c r="C23" s="3"/>
      <x:c r="D23" s="3"/>
      <x:c r="E23" s="3"/>
      <x:c r="F23" s="3"/>
    </x:row>
    <x:row r="24" ht="27" customHeight="1">
      <x:c r="A24" s="3" t="str">
        <x:v>این فایل خلاصهٔ مستقل است و اتصال زنده به دیتابیس ندارد.</x:v>
      </x:c>
      <x:c r="B24" s="3"/>
      <x:c r="C24" s="3"/>
      <x:c r="D24" s="3"/>
      <x:c r="E24" s="3"/>
      <x:c r="F24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03C57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0" hidden="0" customWidth="1"/>
    <x:col min="2" max="2" width="27" hidden="0" customWidth="1"/>
    <x:col min="3" max="3" width="27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1" hidden="0" customWidth="1"/>
    <x:col min="9" max="9" width="11" hidden="0" customWidth="1"/>
    <x:col min="10" max="10" width="19" hidden="0" customWidth="1"/>
    <x:col min="11" max="11" width="19" hidden="0" customWidth="1"/>
  </x:cols>
  <x:sheetData>
    <x:row r="1" ht="27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7" customHeight="1">
      <x:c r="A2" s="4" t="str">
        <x:v>سلامت پروژه‌ها تا پایان ۱۴۰۴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7" customHeight="1">
      <x:c r="A3" s="3" t="str">
        <x:v>مبالغ میلیارد تومان؛ CPI = EV / AC، SPI = EV / PV، EAC = BAC / CPI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27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27" customHeight="1">
      <x:c r="A5" s="3" t="str">
        <x:v>آستانه CPI</x:v>
      </x:c>
      <x:c r="B5" s="8" t="n">
        <x:v>0.95</x:v>
      </x:c>
      <x:c r="C5" s="3" t="str">
        <x:v>آستانه SPI</x:v>
      </x:c>
      <x:c r="D5" s="8" t="n">
        <x:v>0.85</x:v>
      </x:c>
      <x:c r="E5" s="3"/>
      <x:c r="F5" s="3"/>
      <x:c r="G5" s="3"/>
      <x:c r="H5" s="3"/>
      <x:c r="I5" s="3"/>
      <x:c r="J5" s="3"/>
      <x:c r="K5" s="3"/>
    </x:row>
    <x:row r="6" ht="27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7" customHeight="1">
      <x:c r="A7" s="3" t="str">
        <x:v>منبع: v_project_lifetime؛ EAC فقط برآورد با فرض تداوم کارایی هزینه است.</x:v>
      </x:c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ht="36" customHeight="1">
      <x:c r="A8" s="7" t="str">
        <x:v>شناسه</x:v>
      </x:c>
      <x:c r="B8" s="7" t="str">
        <x:v>پروژه</x:v>
      </x:c>
      <x:c r="C8" s="7" t="str">
        <x:v>گروه</x:v>
      </x:c>
      <x:c r="D8" s="7" t="str">
        <x:v>بودجه BAC</x:v>
      </x:c>
      <x:c r="E8" s="7" t="str">
        <x:v>هزینه AC</x:v>
      </x:c>
      <x:c r="F8" s="7" t="str">
        <x:v>ارزش EV</x:v>
      </x:c>
      <x:c r="G8" s="7" t="str">
        <x:v>برنامه PV</x:v>
      </x:c>
      <x:c r="H8" s="7" t="str">
        <x:v>CPI</x:v>
      </x:c>
      <x:c r="I8" s="7" t="str">
        <x:v>SPI</x:v>
      </x:c>
      <x:c r="J8" s="7" t="str">
        <x:v>برآورد EAC</x:v>
      </x:c>
      <x:c r="K8" s="7" t="str">
        <x:v>وضعیت</x:v>
      </x:c>
    </x:row>
    <x:row r="9" ht="27" customHeight="1">
      <x:c r="A9" s="3" t="n">
        <x:v>1</x:v>
      </x:c>
      <x:c r="B9" s="3" t="str">
        <x:v>برج آفتاب 1</x:v>
      </x:c>
      <x:c r="C9" s="3" t="str">
        <x:v>توسعه شهری</x:v>
      </x:c>
      <x:c r="D9" s="13" t="n">
        <x:v>2864.263103894</x:v>
      </x:c>
      <x:c r="E9" s="13" t="n">
        <x:v>2752.539411676</x:v>
      </x:c>
      <x:c r="F9" s="13" t="n">
        <x:v>2864.263103894</x:v>
      </x:c>
      <x:c r="G9" s="13" t="n">
        <x:v>2864.263103894</x:v>
      </x:c>
      <x:c r="H9" s="14" t="n">
        <x:f>IF(E9=0,"n.a.",F9/E9)</x:f>
        <x:v>1.040589316085386</x:v>
      </x:c>
      <x:c r="I9" s="14" t="n">
        <x:f>IF(G9=0,"n.a.",F9/G9)</x:f>
        <x:v>1</x:v>
      </x:c>
      <x:c r="J9" s="12" t="n">
        <x:f>IF(H9=0,"n.a.",D9/H9)</x:f>
        <x:v>2752.539411676</x:v>
      </x:c>
      <x:c r="K9" s="3" t="str">
        <x:f>IF(OR(H9&lt;$B$5,I9&lt;$D$5),"بازبینی","پایدار")</x:f>
        <x:v>پایدار</x:v>
      </x:c>
    </x:row>
    <x:row r="10" ht="27" customHeight="1">
      <x:c r="A10" s="3" t="n">
        <x:v>2</x:v>
      </x:c>
      <x:c r="B10" s="3" t="str">
        <x:v>پردیس آبان 1</x:v>
      </x:c>
      <x:c r="C10" s="3" t="str">
        <x:v>توسعه شهری</x:v>
      </x:c>
      <x:c r="D10" s="13" t="n">
        <x:v>2451.042359749</x:v>
      </x:c>
      <x:c r="E10" s="13" t="n">
        <x:v>1977.385486338</x:v>
      </x:c>
      <x:c r="F10" s="13" t="n">
        <x:v>1961.846133001</x:v>
      </x:c>
      <x:c r="G10" s="13" t="n">
        <x:v>1854.842866837</x:v>
      </x:c>
      <x:c r="H10" s="14" t="n">
        <x:f>IF(E10=0,"n.a.",F10/E10)</x:f>
        <x:v>0.9921414648563149</x:v>
      </x:c>
      <x:c r="I10" s="14" t="n">
        <x:f>IF(G10=0,"n.a.",F10/G10)</x:f>
        <x:v>1.0576885881155362</x:v>
      </x:c>
      <x:c r="J10" s="12" t="n">
        <x:f>IF(H10=0,"n.a.",D10/H10)</x:f>
        <x:v>2470.4565292047014</x:v>
      </x:c>
      <x:c r="K10" s="3" t="str">
        <x:f>IF(OR(H10&lt;$B$5,I10&lt;$D$5),"بازبینی","پایدار")</x:f>
        <x:v>پایدار</x:v>
      </x:c>
    </x:row>
    <x:row r="11" ht="27" customHeight="1">
      <x:c r="A11" s="3" t="n">
        <x:v>3</x:v>
      </x:c>
      <x:c r="B11" s="3" t="str">
        <x:v>باغ‌شهر سپید 1</x:v>
      </x:c>
      <x:c r="C11" s="3" t="str">
        <x:v>توسعه شهری</x:v>
      </x:c>
      <x:c r="D11" s="13" t="n">
        <x:v>3815.296097862</x:v>
      </x:c>
      <x:c r="E11" s="13" t="n">
        <x:v>3197.266703832</x:v>
      </x:c>
      <x:c r="F11" s="13" t="n">
        <x:v>3301.630019947</x:v>
      </x:c>
      <x:c r="G11" s="13" t="n">
        <x:v>3093.48332259</x:v>
      </x:c>
      <x:c r="H11" s="14" t="n">
        <x:f>IF(E11=0,"n.a.",F11/E11)</x:f>
        <x:v>1.032641417117289</x:v>
      </x:c>
      <x:c r="I11" s="14" t="n">
        <x:f>IF(G11=0,"n.a.",F11/G11)</x:f>
        <x:v>1.067285540489913</x:v>
      </x:c>
      <x:c r="J11" s="12" t="n">
        <x:f>IF(H11=0,"n.a.",D11/H11)</x:f>
        <x:v>3694.695985091069</x:v>
      </x:c>
      <x:c r="K11" s="3" t="str">
        <x:f>IF(OR(H11&lt;$B$5,I11&lt;$D$5),"بازبینی","پایدار")</x:f>
        <x:v>پایدار</x:v>
      </x:c>
    </x:row>
    <x:row r="12" ht="27" customHeight="1">
      <x:c r="A12" s="3" t="n">
        <x:v>4</x:v>
      </x:c>
      <x:c r="B12" s="3" t="str">
        <x:v>مجتمع آتریوم 1</x:v>
      </x:c>
      <x:c r="C12" s="3" t="str">
        <x:v>توسعه شهری</x:v>
      </x:c>
      <x:c r="D12" s="13" t="n">
        <x:v>2439.498441292</x:v>
      </x:c>
      <x:c r="E12" s="13" t="n">
        <x:v>2055.531988686</x:v>
      </x:c>
      <x:c r="F12" s="13" t="n">
        <x:v>2084.515936628</x:v>
      </x:c>
      <x:c r="G12" s="13" t="n">
        <x:v>1937.248762202</x:v>
      </x:c>
      <x:c r="H12" s="14" t="n">
        <x:f>IF(E12=0,"n.a.",F12/E12)</x:f>
        <x:v>1.0141004606600785</x:v>
      </x:c>
      <x:c r="I12" s="14" t="n">
        <x:f>IF(G12=0,"n.a.",F12/G12)</x:f>
        <x:v>1.0760187216527664</x:v>
      </x:c>
      <x:c r="J12" s="12" t="n">
        <x:f>IF(H12=0,"n.a.",D12/H12)</x:f>
        <x:v>2405.5786738368397</x:v>
      </x:c>
      <x:c r="K12" s="3" t="str">
        <x:f>IF(OR(H12&lt;$B$5,I12&lt;$D$5),"بازبینی","پایدار")</x:f>
        <x:v>پایدار</x:v>
      </x:c>
    </x:row>
    <x:row r="13" ht="27" customHeight="1">
      <x:c r="A13" s="3" t="n">
        <x:v>5</x:v>
      </x:c>
      <x:c r="B13" s="3" t="str">
        <x:v>پارک فناوری 1</x:v>
      </x:c>
      <x:c r="C13" s="3" t="str">
        <x:v>توسعه شهری</x:v>
      </x:c>
      <x:c r="D13" s="13" t="n">
        <x:v>2572.317942307</x:v>
      </x:c>
      <x:c r="E13" s="13" t="n">
        <x:v>1994.713179846</x:v>
      </x:c>
      <x:c r="F13" s="13" t="n">
        <x:v>1764.770621861</x:v>
      </x:c>
      <x:c r="G13" s="13" t="n">
        <x:v>2572.317942307</x:v>
      </x:c>
      <x:c r="H13" s="14" t="n">
        <x:f>IF(E13=0,"n.a.",F13/E13)</x:f>
        <x:v>0.8847239992655223</x:v>
      </x:c>
      <x:c r="I13" s="14" t="n">
        <x:f>IF(G13=0,"n.a.",F13/G13)</x:f>
        <x:v>0.6860624003105363</x:v>
      </x:c>
      <x:c r="J13" s="12" t="n">
        <x:f>IF(H13=0,"n.a.",D13/H13)</x:f>
        <x:v>2907.4806882626444</x:v>
      </x:c>
      <x:c r="K13" s="3" t="str">
        <x:f>IF(OR(H13&lt;$B$5,I13&lt;$D$5),"بازبینی","پایدار")</x:f>
        <x:v>بازبینی</x:v>
      </x:c>
    </x:row>
    <x:row r="14" ht="27" customHeight="1">
      <x:c r="A14" s="3" t="n">
        <x:v>6</x:v>
      </x:c>
      <x:c r="B14" s="3" t="str">
        <x:v>مرکز لجستیک 1</x:v>
      </x:c>
      <x:c r="C14" s="3" t="str">
        <x:v>توسعه شهری</x:v>
      </x:c>
      <x:c r="D14" s="13" t="n">
        <x:v>1437.921641255</x:v>
      </x:c>
      <x:c r="E14" s="13" t="n">
        <x:v>1033.872574709</x:v>
      </x:c>
      <x:c r="F14" s="13" t="n">
        <x:v>1015.473490985</x:v>
      </x:c>
      <x:c r="G14" s="13" t="n">
        <x:v>1021.681166154</x:v>
      </x:c>
      <x:c r="H14" s="14" t="n">
        <x:f>IF(E14=0,"n.a.",F14/E14)</x:f>
        <x:v>0.9822037220310456</x:v>
      </x:c>
      <x:c r="I14" s="14" t="n">
        <x:f>IF(G14=0,"n.a.",F14/G14)</x:f>
        <x:v>0.9939240583318492</x:v>
      </x:c>
      <x:c r="J14" s="12" t="n">
        <x:f>IF(H14=0,"n.a.",D14/H14)</x:f>
        <x:v>1463.9749463396454</x:v>
      </x:c>
      <x:c r="K14" s="3" t="str">
        <x:f>IF(OR(H14&lt;$B$5,I14&lt;$D$5),"بازبینی","پایدار")</x:f>
        <x:v>پایدار</x:v>
      </x:c>
    </x:row>
    <x:row r="15" ht="27" customHeight="1">
      <x:c r="A15" s="3" t="n">
        <x:v>7</x:v>
      </x:c>
      <x:c r="B15" s="3" t="str">
        <x:v>کارخانه توسعه 1</x:v>
      </x:c>
      <x:c r="C15" s="3" t="str">
        <x:v>توسعه شهری</x:v>
      </x:c>
      <x:c r="D15" s="13" t="n">
        <x:v>2378.126818214</x:v>
      </x:c>
      <x:c r="E15" s="13" t="n">
        <x:v>2183.946692592</x:v>
      </x:c>
      <x:c r="F15" s="13" t="n">
        <x:v>2228.429429307</x:v>
      </x:c>
      <x:c r="G15" s="13" t="n">
        <x:v>2080.860965937</x:v>
      </x:c>
      <x:c r="H15" s="14" t="n">
        <x:f>IF(E15=0,"n.a.",F15/E15)</x:f>
        <x:v>1.0203680505874464</x:v>
      </x:c>
      <x:c r="I15" s="14" t="n">
        <x:f>IF(G15=0,"n.a.",F15/G15)</x:f>
        <x:v>1.0709170222257263</x:v>
      </x:c>
      <x:c r="J15" s="12" t="n">
        <x:f>IF(H15=0,"n.a.",D15/H15)</x:f>
        <x:v>2330.6559009220887</x:v>
      </x:c>
      <x:c r="K15" s="3" t="str">
        <x:f>IF(OR(H15&lt;$B$5,I15&lt;$D$5),"بازبینی","پایدار")</x:f>
        <x:v>پایدار</x:v>
      </x:c>
    </x:row>
    <x:row r="16" ht="27" customHeight="1">
      <x:c r="A16" s="3" t="n">
        <x:v>8</x:v>
      </x:c>
      <x:c r="B16" s="3" t="str">
        <x:v>مجموعه سپهر 1</x:v>
      </x:c>
      <x:c r="C16" s="3" t="str">
        <x:v>توسعه شهری</x:v>
      </x:c>
      <x:c r="D16" s="13" t="n">
        <x:v>3318.103940413</x:v>
      </x:c>
      <x:c r="E16" s="13" t="n">
        <x:v>2938.790083803</x:v>
      </x:c>
      <x:c r="F16" s="13" t="n">
        <x:v>2964.743917371</x:v>
      </x:c>
      <x:c r="G16" s="13" t="n">
        <x:v>2732.556186222</x:v>
      </x:c>
      <x:c r="H16" s="14" t="n">
        <x:f>IF(E16=0,"n.a.",F16/E16)</x:f>
        <x:v>1.0088314690154438</x:v>
      </x:c>
      <x:c r="I16" s="14" t="n">
        <x:f>IF(G16=0,"n.a.",F16/G16)</x:f>
        <x:v>1.084970890011239</x:v>
      </x:c>
      <x:c r="J16" s="12" t="n">
        <x:f>IF(H16=0,"n.a.",D16/H16)</x:f>
        <x:v>3289.056737743581</x:v>
      </x:c>
      <x:c r="K16" s="3" t="str">
        <x:f>IF(OR(H16&lt;$B$5,I16&lt;$D$5),"بازبینی","پایدار")</x:f>
        <x:v>پایدار</x:v>
      </x:c>
    </x:row>
    <x:row r="17" ht="27" customHeight="1">
      <x:c r="A17" s="3" t="n">
        <x:v>9</x:v>
      </x:c>
      <x:c r="B17" s="3" t="str">
        <x:v>مجتمع اداری 1</x:v>
      </x:c>
      <x:c r="C17" s="3" t="str">
        <x:v>توسعه شهری</x:v>
      </x:c>
      <x:c r="D17" s="13" t="n">
        <x:v>2108.320299473</x:v>
      </x:c>
      <x:c r="E17" s="13" t="n">
        <x:v>1724.867408492</x:v>
      </x:c>
      <x:c r="F17" s="13" t="n">
        <x:v>1765.15732279</x:v>
      </x:c>
      <x:c r="G17" s="13" t="n">
        <x:v>1621.784845748</x:v>
      </x:c>
      <x:c r="H17" s="14" t="n">
        <x:f>IF(E17=0,"n.a.",F17/E17)</x:f>
        <x:v>1.0233582674816868</x:v>
      </x:c>
      <x:c r="I17" s="14" t="n">
        <x:f>IF(G17=0,"n.a.",F17/G17)</x:f>
        <x:v>1.0884041292023998</x:v>
      </x:c>
      <x:c r="J17" s="12" t="n">
        <x:f>IF(H17=0,"n.a.",D17/H17)</x:f>
        <x:v>2060.197651660374</x:v>
      </x:c>
      <x:c r="K17" s="3" t="str">
        <x:f>IF(OR(H17&lt;$B$5,I17&lt;$D$5),"بازبینی","پایدار")</x:f>
        <x:v>پایدار</x:v>
      </x:c>
    </x:row>
    <x:row r="18" ht="27" customHeight="1">
      <x:c r="A18" s="3" t="n">
        <x:v>10</x:v>
      </x:c>
      <x:c r="B18" s="3" t="str">
        <x:v>بازآفرینی نارون 1</x:v>
      </x:c>
      <x:c r="C18" s="3" t="str">
        <x:v>توسعه شهری</x:v>
      </x:c>
      <x:c r="D18" s="13" t="n">
        <x:v>3401.718946878</x:v>
      </x:c>
      <x:c r="E18" s="13" t="n">
        <x:v>3316.790114339</x:v>
      </x:c>
      <x:c r="F18" s="13" t="n">
        <x:v>3401.718946878</x:v>
      </x:c>
      <x:c r="G18" s="13" t="n">
        <x:v>3401.718946878</x:v>
      </x:c>
      <x:c r="H18" s="14" t="n">
        <x:f>IF(E18=0,"n.a.",F18/E18)</x:f>
        <x:v>1.0256057301219754</x:v>
      </x:c>
      <x:c r="I18" s="14" t="n">
        <x:f>IF(G18=0,"n.a.",F18/G18)</x:f>
        <x:v>1</x:v>
      </x:c>
      <x:c r="J18" s="12" t="n">
        <x:f>IF(H18=0,"n.a.",D18/H18)</x:f>
        <x:v>3316.790114339</x:v>
      </x:c>
      <x:c r="K18" s="3" t="str">
        <x:f>IF(OR(H18&lt;$B$5,I18&lt;$D$5),"بازبینی","پایدار")</x:f>
        <x:v>پایدار</x:v>
      </x:c>
    </x:row>
    <x:row r="19" ht="27" customHeight="1">
      <x:c r="A19" s="3" t="n">
        <x:v>11</x:v>
      </x:c>
      <x:c r="B19" s="3" t="str">
        <x:v>پردیس انرژی 1</x:v>
      </x:c>
      <x:c r="C19" s="3" t="str">
        <x:v>توسعه شهری</x:v>
      </x:c>
      <x:c r="D19" s="13" t="n">
        <x:v>3216.289085953</x:v>
      </x:c>
      <x:c r="E19" s="13" t="n">
        <x:v>2886.307127448</x:v>
      </x:c>
      <x:c r="F19" s="13" t="n">
        <x:v>2903.061049737</x:v>
      </x:c>
      <x:c r="G19" s="13" t="n">
        <x:v>2894.660177357</x:v>
      </x:c>
      <x:c r="H19" s="14" t="n">
        <x:f>IF(E19=0,"n.a.",F19/E19)</x:f>
        <x:v>1.0058046221518406</x:v>
      </x:c>
      <x:c r="I19" s="14" t="n">
        <x:f>IF(G19=0,"n.a.",F19/G19)</x:f>
        <x:v>1.0029021964117633</x:v>
      </x:c>
      <x:c r="J19" s="12" t="n">
        <x:f>IF(H19=0,"n.a.",D19/H19)</x:f>
        <x:v>3197.727486151336</x:v>
      </x:c>
      <x:c r="K19" s="3" t="str">
        <x:f>IF(OR(H19&lt;$B$5,I19&lt;$D$5),"بازبینی","پایدار")</x:f>
        <x:v>پایدار</x:v>
      </x:c>
    </x:row>
    <x:row r="20" ht="27" customHeight="1">
      <x:c r="A20" s="3" t="n">
        <x:v>12</x:v>
      </x:c>
      <x:c r="B20" s="3" t="str">
        <x:v>سازه افق 1</x:v>
      </x:c>
      <x:c r="C20" s="3" t="str">
        <x:v>توسعه شهری</x:v>
      </x:c>
      <x:c r="D20" s="13" t="n">
        <x:v>2573.342599166</x:v>
      </x:c>
      <x:c r="E20" s="13" t="n">
        <x:v>2037.188611251</x:v>
      </x:c>
      <x:c r="F20" s="13" t="n">
        <x:v>2041.522962754</x:v>
      </x:c>
      <x:c r="G20" s="13" t="n">
        <x:v>2241.298392822</x:v>
      </x:c>
      <x:c r="H20" s="14" t="n">
        <x:f>IF(E20=0,"n.a.",F20/E20)</x:f>
        <x:v>1.0021276142420306</x:v>
      </x:c>
      <x:c r="I20" s="14" t="n">
        <x:f>IF(G20=0,"n.a.",F20/G20)</x:f>
        <x:v>0.9108662056298249</x:v>
      </x:c>
      <x:c r="J20" s="12" t="n">
        <x:f>IF(H20=0,"n.a.",D20/H20)</x:f>
        <x:v>2567.87914292969</x:v>
      </x:c>
      <x:c r="K20" s="3" t="str">
        <x:f>IF(OR(H20&lt;$B$5,I20&lt;$D$5),"بازبینی","پایدار")</x:f>
        <x:v>پایدار</x:v>
      </x:c>
    </x:row>
    <x:row r="21" ht="27" customHeight="1">
      <x:c r="A21" s="3" t="n">
        <x:v>13</x:v>
      </x:c>
      <x:c r="B21" s="3" t="str">
        <x:v>برج آفتاب 2</x:v>
      </x:c>
      <x:c r="C21" s="3" t="str">
        <x:v>سازه و زیرساخت</x:v>
      </x:c>
      <x:c r="D21" s="13" t="n">
        <x:v>2480.984997958</x:v>
      </x:c>
      <x:c r="E21" s="13" t="n">
        <x:v>1794.605453806</x:v>
      </x:c>
      <x:c r="F21" s="13" t="n">
        <x:v>1803.390977962</x:v>
      </x:c>
      <x:c r="G21" s="13" t="n">
        <x:v>1984.787998366</x:v>
      </x:c>
      <x:c r="H21" s="14" t="n">
        <x:f>IF(E21=0,"n.a.",F21/E21)</x:f>
        <x:v>1.0048955184758677</x:v>
      </x:c>
      <x:c r="I21" s="14" t="n">
        <x:f>IF(G21=0,"n.a.",F21/G21)</x:f>
        <x:v>0.9086063496185299</x:v>
      </x:c>
      <x:c r="J21" s="12" t="n">
        <x:f>IF(H21=0,"n.a.",D21/H21)</x:f>
        <x:v>2468.89845993236</x:v>
      </x:c>
      <x:c r="K21" s="3" t="str">
        <x:f>IF(OR(H21&lt;$B$5,I21&lt;$D$5),"بازبینی","پایدار")</x:f>
        <x:v>پایدار</x:v>
      </x:c>
    </x:row>
    <x:row r="22" ht="27" customHeight="1">
      <x:c r="A22" s="3" t="n">
        <x:v>14</x:v>
      </x:c>
      <x:c r="B22" s="3" t="str">
        <x:v>پردیس آبان 2</x:v>
      </x:c>
      <x:c r="C22" s="3" t="str">
        <x:v>سازه و زیرساخت</x:v>
      </x:c>
      <x:c r="D22" s="13" t="n">
        <x:v>1654.68076859</x:v>
      </x:c>
      <x:c r="E22" s="13" t="n">
        <x:v>1262.332711081</x:v>
      </x:c>
      <x:c r="F22" s="13" t="n">
        <x:v>1250.013611961</x:v>
      </x:c>
      <x:c r="G22" s="13" t="n">
        <x:v>1251.100093324</x:v>
      </x:c>
      <x:c r="H22" s="14" t="n">
        <x:f>IF(E22=0,"n.a.",F22/E22)</x:f>
        <x:v>0.9902410046005615</x:v>
      </x:c>
      <x:c r="I22" s="14" t="n">
        <x:f>IF(G22=0,"n.a.",F22/G22)</x:f>
        <x:v>0.9991315791847529</x:v>
      </x:c>
      <x:c r="J22" s="12" t="n">
        <x:f>IF(H22=0,"n.a.",D22/H22)</x:f>
        <x:v>1670.9879321321953</x:v>
      </x:c>
      <x:c r="K22" s="3" t="str">
        <x:f>IF(OR(H22&lt;$B$5,I22&lt;$D$5),"بازبینی","پایدار")</x:f>
        <x:v>پایدار</x:v>
      </x:c>
    </x:row>
    <x:row r="23" ht="27" customHeight="1">
      <x:c r="A23" s="3" t="n">
        <x:v>15</x:v>
      </x:c>
      <x:c r="B23" s="3" t="str">
        <x:v>باغ‌شهر سپید 2</x:v>
      </x:c>
      <x:c r="C23" s="3" t="str">
        <x:v>سازه و زیرساخت</x:v>
      </x:c>
      <x:c r="D23" s="13" t="n">
        <x:v>2718.656163597</x:v>
      </x:c>
      <x:c r="E23" s="13" t="n">
        <x:v>2417.810905762</x:v>
      </x:c>
      <x:c r="F23" s="13" t="n">
        <x:v>2507.049538259</x:v>
      </x:c>
      <x:c r="G23" s="13" t="n">
        <x:v>2643.13793683</x:v>
      </x:c>
      <x:c r="H23" s="14" t="n">
        <x:f>IF(E23=0,"n.a.",F23/E23)</x:f>
        <x:v>1.0369088551484036</x:v>
      </x:c>
      <x:c r="I23" s="14" t="n">
        <x:f>IF(G23=0,"n.a.",F23/G23)</x:f>
        <x:v>0.9485125627858019</x:v>
      </x:c>
      <x:c r="J23" s="12" t="n">
        <x:f>IF(H23=0,"n.a.",D23/H23)</x:f>
        <x:v>2621.885376037128</x:v>
      </x:c>
      <x:c r="K23" s="3" t="str">
        <x:f>IF(OR(H23&lt;$B$5,I23&lt;$D$5),"بازبینی","پایدار")</x:f>
        <x:v>پایدار</x:v>
      </x:c>
    </x:row>
    <x:row r="24" ht="27" customHeight="1">
      <x:c r="A24" s="3" t="n">
        <x:v>16</x:v>
      </x:c>
      <x:c r="B24" s="3" t="str">
        <x:v>مجتمع آتریوم 2</x:v>
      </x:c>
      <x:c r="C24" s="3" t="str">
        <x:v>سازه و زیرساخت</x:v>
      </x:c>
      <x:c r="D24" s="13" t="n">
        <x:v>2853.018497214</x:v>
      </x:c>
      <x:c r="E24" s="13" t="n">
        <x:v>2627.388893179</x:v>
      </x:c>
      <x:c r="F24" s="13" t="n">
        <x:v>2750.95872569</x:v>
      </x:c>
      <x:c r="G24" s="13" t="n">
        <x:v>2853.018497214</x:v>
      </x:c>
      <x:c r="H24" s="14" t="n">
        <x:f>IF(E24=0,"n.a.",F24/E24)</x:f>
        <x:v>1.0470314207507694</x:v>
      </x:c>
      <x:c r="I24" s="14" t="n">
        <x:f>IF(G24=0,"n.a.",F24/G24)</x:f>
        <x:v>0.9642274413489914</x:v>
      </x:c>
      <x:c r="J24" s="12" t="n">
        <x:f>IF(H24=0,"n.a.",D24/H24)</x:f>
        <x:v>2724.8642597260887</x:v>
      </x:c>
      <x:c r="K24" s="3" t="str">
        <x:f>IF(OR(H24&lt;$B$5,I24&lt;$D$5),"بازبینی","پایدار")</x:f>
        <x:v>پایدار</x:v>
      </x:c>
    </x:row>
    <x:row r="25" ht="27" customHeight="1">
      <x:c r="A25" s="3" t="n">
        <x:v>17</x:v>
      </x:c>
      <x:c r="B25" s="3" t="str">
        <x:v>پارک فناوری 2</x:v>
      </x:c>
      <x:c r="C25" s="3" t="str">
        <x:v>سازه و زیرساخت</x:v>
      </x:c>
      <x:c r="D25" s="13" t="n">
        <x:v>3224.579940003</x:v>
      </x:c>
      <x:c r="E25" s="13" t="n">
        <x:v>2910.920189357</x:v>
      </x:c>
      <x:c r="F25" s="13" t="n">
        <x:v>3035.234642729</x:v>
      </x:c>
      <x:c r="G25" s="13" t="n">
        <x:v>3050.278321624</x:v>
      </x:c>
      <x:c r="H25" s="14" t="n">
        <x:f>IF(E25=0,"n.a.",F25/E25)</x:f>
        <x:v>1.04270623901903</x:v>
      </x:c>
      <x:c r="I25" s="14" t="n">
        <x:f>IF(G25=0,"n.a.",F25/G25)</x:f>
        <x:v>0.9950680963148993</x:v>
      </x:c>
      <x:c r="J25" s="12" t="n">
        <x:f>IF(H25=0,"n.a.",D25/H25)</x:f>
        <x:v>3092.510449574618</x:v>
      </x:c>
      <x:c r="K25" s="3" t="str">
        <x:f>IF(OR(H25&lt;$B$5,I25&lt;$D$5),"بازبینی","پایدار")</x:f>
        <x:v>پایدار</x:v>
      </x:c>
    </x:row>
    <x:row r="26" ht="27" customHeight="1">
      <x:c r="A26" s="3" t="n">
        <x:v>18</x:v>
      </x:c>
      <x:c r="B26" s="3" t="str">
        <x:v>مرکز لجستیک 2</x:v>
      </x:c>
      <x:c r="C26" s="3" t="str">
        <x:v>سازه و زیرساخت</x:v>
      </x:c>
      <x:c r="D26" s="13" t="n">
        <x:v>4066.150591148</x:v>
      </x:c>
      <x:c r="E26" s="13" t="n">
        <x:v>3486.319017505</x:v>
      </x:c>
      <x:c r="F26" s="13" t="n">
        <x:v>3031.522439804</x:v>
      </x:c>
      <x:c r="G26" s="13" t="n">
        <x:v>4066.150591148</x:v>
      </x:c>
      <x:c r="H26" s="14" t="n">
        <x:f>IF(E26=0,"n.a.",F26/E26)</x:f>
        <x:v>0.8695482038742177</x:v>
      </x:c>
      <x:c r="I26" s="14" t="n">
        <x:f>IF(G26=0,"n.a.",F26/G26)</x:f>
        <x:v>0.745550950917464</x:v>
      </x:c>
      <x:c r="J26" s="12" t="n">
        <x:f>IF(H26=0,"n.a.",D26/H26)</x:f>
        <x:v>4676.16467152887</x:v>
      </x:c>
      <x:c r="K26" s="3" t="str">
        <x:f>IF(OR(H26&lt;$B$5,I26&lt;$D$5),"بازبینی","پایدار")</x:f>
        <x:v>بازبینی</x:v>
      </x:c>
    </x:row>
    <x:row r="27" ht="27" customHeight="1">
      <x:c r="A27" s="3" t="n">
        <x:v>19</x:v>
      </x:c>
      <x:c r="B27" s="3" t="str">
        <x:v>کارخانه توسعه 2</x:v>
      </x:c>
      <x:c r="C27" s="3" t="str">
        <x:v>سازه و زیرساخت</x:v>
      </x:c>
      <x:c r="D27" s="13" t="n">
        <x:v>1764.336500691</x:v>
      </x:c>
      <x:c r="E27" s="13" t="n">
        <x:v>1497.382700551</x:v>
      </x:c>
      <x:c r="F27" s="13" t="n">
        <x:v>1487.564034923</x:v>
      </x:c>
      <x:c r="G27" s="13" t="n">
        <x:v>1598.929953751</x:v>
      </x:c>
      <x:c r="H27" s="14" t="n">
        <x:f>IF(E27=0,"n.a.",F27/E27)</x:f>
        <x:v>0.9934427814449927</x:v>
      </x:c>
      <x:c r="I27" s="14" t="n">
        <x:f>IF(G27=0,"n.a.",F27/G27)</x:f>
        <x:v>0.9303497200945283</x:v>
      </x:c>
      <x:c r="J27" s="12" t="n">
        <x:f>IF(H27=0,"n.a.",D27/H27)</x:f>
        <x:v>1775.982002833338</x:v>
      </x:c>
      <x:c r="K27" s="3" t="str">
        <x:f>IF(OR(H27&lt;$B$5,I27&lt;$D$5),"بازبینی","پایدار")</x:f>
        <x:v>پایدار</x:v>
      </x:c>
    </x:row>
    <x:row r="28" ht="27" customHeight="1">
      <x:c r="A28" s="3" t="n">
        <x:v>20</x:v>
      </x:c>
      <x:c r="B28" s="3" t="str">
        <x:v>مجموعه سپهر 2</x:v>
      </x:c>
      <x:c r="C28" s="3" t="str">
        <x:v>سازه و زیرساخت</x:v>
      </x:c>
      <x:c r="D28" s="13" t="n">
        <x:v>3616.387472004</x:v>
      </x:c>
      <x:c r="E28" s="13" t="n">
        <x:v>3321.049498229</x:v>
      </x:c>
      <x:c r="F28" s="13" t="n">
        <x:v>3326.698495807</x:v>
      </x:c>
      <x:c r="G28" s="13" t="n">
        <x:v>3245.475936413</x:v>
      </x:c>
      <x:c r="H28" s="14" t="n">
        <x:f>IF(E28=0,"n.a.",F28/E28)</x:f>
        <x:v>1.0017009675950366</x:v>
      </x:c>
      <x:c r="I28" s="14" t="n">
        <x:f>IF(G28=0,"n.a.",F28/G28)</x:f>
        <x:v>1.0250263939666642</x:v>
      </x:c>
      <x:c r="J28" s="12" t="n">
        <x:f>IF(H28=0,"n.a.",D28/H28)</x:f>
        <x:v>3610.246559596035</x:v>
      </x:c>
      <x:c r="K28" s="3" t="str">
        <x:f>IF(OR(H28&lt;$B$5,I28&lt;$D$5),"بازبینی","پایدار")</x:f>
        <x:v>پایدار</x:v>
      </x:c>
    </x:row>
    <x:row r="29" ht="27" customHeight="1">
      <x:c r="A29" s="3" t="n">
        <x:v>21</x:v>
      </x:c>
      <x:c r="B29" s="3" t="str">
        <x:v>مجتمع اداری 2</x:v>
      </x:c>
      <x:c r="C29" s="3" t="str">
        <x:v>سازه و زیرساخت</x:v>
      </x:c>
      <x:c r="D29" s="13" t="n">
        <x:v>2460.423553339</x:v>
      </x:c>
      <x:c r="E29" s="13" t="n">
        <x:v>1962.159305109</x:v>
      </x:c>
      <x:c r="F29" s="13" t="n">
        <x:v>2017.233028385</x:v>
      </x:c>
      <x:c r="G29" s="13" t="n">
        <x:v>2007.187635618</x:v>
      </x:c>
      <x:c r="H29" s="14" t="n">
        <x:f>IF(E29=0,"n.a.",F29/E29)</x:f>
        <x:v>1.028067916367749</x:v>
      </x:c>
      <x:c r="I29" s="14" t="n">
        <x:f>IF(G29=0,"n.a.",F29/G29)</x:f>
        <x:v>1.0050047103662567</x:v>
      </x:c>
      <x:c r="J29" s="12" t="n">
        <x:f>IF(H29=0,"n.a.",D29/H29)</x:f>
        <x:v>2393.250012150836</x:v>
      </x:c>
      <x:c r="K29" s="3" t="str">
        <x:f>IF(OR(H29&lt;$B$5,I29&lt;$D$5),"بازبینی","پایدار")</x:f>
        <x:v>پایدار</x:v>
      </x:c>
    </x:row>
    <x:row r="30" ht="27" customHeight="1">
      <x:c r="A30" s="3" t="n">
        <x:v>22</x:v>
      </x:c>
      <x:c r="B30" s="3" t="str">
        <x:v>بازآفرینی نارون 2</x:v>
      </x:c>
      <x:c r="C30" s="3" t="str">
        <x:v>سازه و زیرساخت</x:v>
      </x:c>
      <x:c r="D30" s="13" t="n">
        <x:v>1636.131261611</x:v>
      </x:c>
      <x:c r="E30" s="13" t="n">
        <x:v>1469.067288789</x:v>
      </x:c>
      <x:c r="F30" s="13" t="n">
        <x:v>1465.035503734</x:v>
      </x:c>
      <x:c r="G30" s="13" t="n">
        <x:v>1408.890808609</x:v>
      </x:c>
      <x:c r="H30" s="14" t="n">
        <x:f>IF(E30=0,"n.a.",F30/E30)</x:f>
        <x:v>0.9972555477303402</x:v>
      </x:c>
      <x:c r="I30" s="14" t="n">
        <x:f>IF(G30=0,"n.a.",F30/G30)</x:f>
        <x:v>1.0398502813574544</x:v>
      </x:c>
      <x:c r="J30" s="12" t="n">
        <x:f>IF(H30=0,"n.a.",D30/H30)</x:f>
        <x:v>1640.633903049906</x:v>
      </x:c>
      <x:c r="K30" s="3" t="str">
        <x:f>IF(OR(H30&lt;$B$5,I30&lt;$D$5),"بازبینی","پایدار")</x:f>
        <x:v>پایدار</x:v>
      </x:c>
    </x:row>
    <x:row r="31" ht="27" customHeight="1">
      <x:c r="A31" s="3" t="n">
        <x:v>23</x:v>
      </x:c>
      <x:c r="B31" s="3" t="str">
        <x:v>پردیس انرژی 2</x:v>
      </x:c>
      <x:c r="C31" s="3" t="str">
        <x:v>سازه و زیرساخت</x:v>
      </x:c>
      <x:c r="D31" s="13" t="n">
        <x:v>3225.466254237</x:v>
      </x:c>
      <x:c r="E31" s="13" t="n">
        <x:v>2767.413736758</x:v>
      </x:c>
      <x:c r="F31" s="13" t="n">
        <x:v>2824.487258171</x:v>
      </x:c>
      <x:c r="G31" s="13" t="n">
        <x:v>2832.116711037</x:v>
      </x:c>
      <x:c r="H31" s="14" t="n">
        <x:f>IF(E31=0,"n.a.",F31/E31)</x:f>
        <x:v>1.0206234147987792</x:v>
      </x:c>
      <x:c r="I31" s="14" t="n">
        <x:f>IF(G31=0,"n.a.",F31/G31)</x:f>
        <x:v>0.9973060951774101</x:v>
      </x:c>
      <x:c r="J31" s="12" t="n">
        <x:f>IF(H31=0,"n.a.",D31/H31)</x:f>
        <x:v>3160.2902769704892</x:v>
      </x:c>
      <x:c r="K31" s="3" t="str">
        <x:f>IF(OR(H31&lt;$B$5,I31&lt;$D$5),"بازبینی","پایدار")</x:f>
        <x:v>پایدار</x:v>
      </x:c>
    </x:row>
    <x:row r="32" ht="27" customHeight="1">
      <x:c r="A32" s="3" t="n">
        <x:v>24</x:v>
      </x:c>
      <x:c r="B32" s="3" t="str">
        <x:v>سازه افق 2</x:v>
      </x:c>
      <x:c r="C32" s="3" t="str">
        <x:v>سازه و زیرساخت</x:v>
      </x:c>
      <x:c r="D32" s="13" t="n">
        <x:v>4108.010952961</x:v>
      </x:c>
      <x:c r="E32" s="13" t="n">
        <x:v>4067.783739091</x:v>
      </x:c>
      <x:c r="F32" s="13" t="n">
        <x:v>4108.010952961</x:v>
      </x:c>
      <x:c r="G32" s="13" t="n">
        <x:v>4108.010952961</x:v>
      </x:c>
      <x:c r="H32" s="14" t="n">
        <x:f>IF(E32=0,"n.a.",F32/E32)</x:f>
        <x:v>1.0098892213672572</x:v>
      </x:c>
      <x:c r="I32" s="14" t="n">
        <x:f>IF(G32=0,"n.a.",F32/G32)</x:f>
        <x:v>1</x:v>
      </x:c>
      <x:c r="J32" s="12" t="n">
        <x:f>IF(H32=0,"n.a.",D32/H32)</x:f>
        <x:v>4067.783739091</x:v>
      </x:c>
      <x:c r="K32" s="3" t="str">
        <x:f>IF(OR(H32&lt;$B$5,I32&lt;$D$5),"بازبینی","پایدار")</x:f>
        <x:v>پایدار</x:v>
      </x:c>
    </x:row>
    <x:row r="33" ht="27" customHeight="1">
      <x:c r="A33" s="3" t="n">
        <x:v>25</x:v>
      </x:c>
      <x:c r="B33" s="3" t="str">
        <x:v>برج آفتاب 3</x:v>
      </x:c>
      <x:c r="C33" s="3" t="str">
        <x:v>ساخت صنعتی</x:v>
      </x:c>
      <x:c r="D33" s="13" t="n">
        <x:v>3109.905170004</x:v>
      </x:c>
      <x:c r="E33" s="13" t="n">
        <x:v>2744.692537588</x:v>
      </x:c>
      <x:c r="F33" s="13" t="n">
        <x:v>2781.307182342</x:v>
      </x:c>
      <x:c r="G33" s="13" t="n">
        <x:v>2915.536096878</x:v>
      </x:c>
      <x:c r="H33" s="14" t="n">
        <x:f>IF(E33=0,"n.a.",F33/E33)</x:f>
        <x:v>1.0133401626056726</x:v>
      </x:c>
      <x:c r="I33" s="14" t="n">
        <x:f>IF(G33=0,"n.a.",F33/G33)</x:f>
        <x:v>0.9539608119824912</x:v>
      </x:c>
      <x:c r="J33" s="12" t="n">
        <x:f>IF(H33=0,"n.a.",D33/H33)</x:f>
        <x:v>3068.964682113539</x:v>
      </x:c>
      <x:c r="K33" s="3" t="str">
        <x:f>IF(OR(H33&lt;$B$5,I33&lt;$D$5),"بازبینی","پایدار")</x:f>
        <x:v>پایدار</x:v>
      </x:c>
    </x:row>
    <x:row r="34" ht="27" customHeight="1">
      <x:c r="A34" s="3" t="n">
        <x:v>26</x:v>
      </x:c>
      <x:c r="B34" s="3" t="str">
        <x:v>پردیس آبان 3</x:v>
      </x:c>
      <x:c r="C34" s="3" t="str">
        <x:v>ساخت صنعتی</x:v>
      </x:c>
      <x:c r="D34" s="13" t="n">
        <x:v>1694.861313337</x:v>
      </x:c>
      <x:c r="E34" s="13" t="n">
        <x:v>1388.87094218</x:v>
      </x:c>
      <x:c r="F34" s="13" t="n">
        <x:v>1388.728377747</x:v>
      </x:c>
      <x:c r="G34" s="13" t="n">
        <x:v>1412.38442778</x:v>
      </x:c>
      <x:c r="H34" s="14" t="n">
        <x:f>IF(E34=0,"n.a.",F34/E34)</x:f>
        <x:v>0.9998973522818642</x:v>
      </x:c>
      <x:c r="I34" s="14" t="n">
        <x:f>IF(G34=0,"n.a.",F34/G34)</x:f>
        <x:v>0.9832509835369803</x:v>
      </x:c>
      <x:c r="J34" s="12" t="n">
        <x:f>IF(H34=0,"n.a.",D34/H34)</x:f>
        <x:v>1695.0353048432019</x:v>
      </x:c>
      <x:c r="K34" s="3" t="str">
        <x:f>IF(OR(H34&lt;$B$5,I34&lt;$D$5),"بازبینی","پایدار")</x:f>
        <x:v>پایدار</x:v>
      </x:c>
    </x:row>
    <x:row r="35" ht="27" customHeight="1">
      <x:c r="A35" s="3" t="n">
        <x:v>27</x:v>
      </x:c>
      <x:c r="B35" s="3" t="str">
        <x:v>باغ‌شهر سپید 3</x:v>
      </x:c>
      <x:c r="C35" s="3" t="str">
        <x:v>ساخت صنعتی</x:v>
      </x:c>
      <x:c r="D35" s="13" t="n">
        <x:v>1638.432524991</x:v>
      </x:c>
      <x:c r="E35" s="13" t="n">
        <x:v>1241.648565653</x:v>
      </x:c>
      <x:c r="F35" s="13" t="n">
        <x:v>1246.299041784</x:v>
      </x:c>
      <x:c r="G35" s="13" t="n">
        <x:v>1170.308946422</x:v>
      </x:c>
      <x:c r="H35" s="14" t="n">
        <x:f>IF(E35=0,"n.a.",F35/E35)</x:f>
        <x:v>1.003745404504659</x:v>
      </x:c>
      <x:c r="I35" s="14" t="n">
        <x:f>IF(G35=0,"n.a.",F35/G35)</x:f>
        <x:v>1.0649316538118636</x:v>
      </x:c>
      <x:c r="J35" s="12" t="n">
        <x:f>IF(H35=0,"n.a.",D35/H35)</x:f>
        <x:v>1632.3188306894958</x:v>
      </x:c>
      <x:c r="K35" s="3" t="str">
        <x:f>IF(OR(H35&lt;$B$5,I35&lt;$D$5),"بازبینی","پایدار")</x:f>
        <x:v>پایدار</x:v>
      </x:c>
    </x:row>
    <x:row r="36" ht="27" customHeight="1">
      <x:c r="A36" s="3" t="n">
        <x:v>28</x:v>
      </x:c>
      <x:c r="B36" s="3" t="str">
        <x:v>مجتمع آتریوم 3</x:v>
      </x:c>
      <x:c r="C36" s="3" t="str">
        <x:v>ساخت صنعتی</x:v>
      </x:c>
      <x:c r="D36" s="13" t="n">
        <x:v>3823.017069897</x:v>
      </x:c>
      <x:c r="E36" s="13" t="n">
        <x:v>2205.918144172</x:v>
      </x:c>
      <x:c r="F36" s="13" t="n">
        <x:v>2270.507028038</x:v>
      </x:c>
      <x:c r="G36" s="13" t="n">
        <x:v>2515.142809142</x:v>
      </x:c>
      <x:c r="H36" s="14" t="n">
        <x:f>IF(E36=0,"n.a.",F36/E36)</x:f>
        <x:v>1.0292798189437096</x:v>
      </x:c>
      <x:c r="I36" s="14" t="n">
        <x:f>IF(G36=0,"n.a.",F36/G36)</x:f>
        <x:v>0.9027348346921688</x:v>
      </x:c>
      <x:c r="J36" s="12" t="n">
        <x:f>IF(H36=0,"n.a.",D36/H36)</x:f>
        <x:v>3714.2640898374375</x:v>
      </x:c>
      <x:c r="K36" s="3" t="str">
        <x:f>IF(OR(H36&lt;$B$5,I36&lt;$D$5),"بازبینی","پایدار")</x:f>
        <x:v>پایدار</x:v>
      </x:c>
    </x:row>
    <x:row r="37" ht="27" customHeight="1">
      <x:c r="A37" s="3" t="n">
        <x:v>29</x:v>
      </x:c>
      <x:c r="B37" s="3" t="str">
        <x:v>پارک فناوری 3</x:v>
      </x:c>
      <x:c r="C37" s="3" t="str">
        <x:v>ساخت صنعتی</x:v>
      </x:c>
      <x:c r="D37" s="13" t="n">
        <x:v>4131.094811886</x:v>
      </x:c>
      <x:c r="E37" s="13" t="n">
        <x:v>3787.19904078</x:v>
      </x:c>
      <x:c r="F37" s="13" t="n">
        <x:v>3917.238186834</x:v>
      </x:c>
      <x:c r="G37" s="13" t="n">
        <x:v>4131.094811886</x:v>
      </x:c>
      <x:c r="H37" s="14" t="n">
        <x:f>IF(E37=0,"n.a.",F37/E37)</x:f>
        <x:v>1.0343364963535737</x:v>
      </x:c>
      <x:c r="I37" s="14" t="n">
        <x:f>IF(G37=0,"n.a.",F37/G37)</x:f>
        <x:v>0.9482324577889883</x:v>
      </x:c>
      <x:c r="J37" s="12" t="n">
        <x:f>IF(H37=0,"n.a.",D37/H37)</x:f>
        <x:v>3993.956344429175</x:v>
      </x:c>
      <x:c r="K37" s="3" t="str">
        <x:f>IF(OR(H37&lt;$B$5,I37&lt;$D$5),"بازبینی","پایدار")</x:f>
        <x:v>پایدار</x:v>
      </x:c>
    </x:row>
    <x:row r="38" ht="27" customHeight="1">
      <x:c r="A38" s="3" t="n">
        <x:v>30</x:v>
      </x:c>
      <x:c r="B38" s="3" t="str">
        <x:v>مرکز لجستیک 3</x:v>
      </x:c>
      <x:c r="C38" s="3" t="str">
        <x:v>ساخت صنعتی</x:v>
      </x:c>
      <x:c r="D38" s="13" t="n">
        <x:v>1953.537960954</x:v>
      </x:c>
      <x:c r="E38" s="13" t="n">
        <x:v>1349.346571163</x:v>
      </x:c>
      <x:c r="F38" s="13" t="n">
        <x:v>1396.359085576</x:v>
      </x:c>
      <x:c r="G38" s="13" t="n">
        <x:v>1348.87144923</x:v>
      </x:c>
      <x:c r="H38" s="14" t="n">
        <x:f>IF(E38=0,"n.a.",F38/E38)</x:f>
        <x:v>1.0348409485136796</x:v>
      </x:c>
      <x:c r="I38" s="14" t="n">
        <x:f>IF(G38=0,"n.a.",F38/G38)</x:f>
        <x:v>1.035205457401525</x:v>
      </x:c>
      <x:c r="J38" s="12" t="n">
        <x:f>IF(H38=0,"n.a.",D38/H38)</x:f>
        <x:v>1887.7663893758995</x:v>
      </x:c>
      <x:c r="K38" s="3" t="str">
        <x:f>IF(OR(H38&lt;$B$5,I38&lt;$D$5),"بازبینی","پایدار")</x:f>
        <x:v>پایدار</x:v>
      </x:c>
    </x:row>
    <x:row r="39" ht="27" customHeight="1">
      <x:c r="A39" s="3" t="n">
        <x:v>31</x:v>
      </x:c>
      <x:c r="B39" s="3" t="str">
        <x:v>کارخانه توسعه 3</x:v>
      </x:c>
      <x:c r="C39" s="3" t="str">
        <x:v>ساخت صنعتی</x:v>
      </x:c>
      <x:c r="D39" s="13" t="n">
        <x:v>2858.599878673</x:v>
      </x:c>
      <x:c r="E39" s="13" t="n">
        <x:v>2412.988724939</x:v>
      </x:c>
      <x:c r="F39" s="13" t="n">
        <x:v>2090.233432855</x:v>
      </x:c>
      <x:c r="G39" s="13" t="n">
        <x:v>2779.194326487</x:v>
      </x:c>
      <x:c r="H39" s="14" t="n">
        <x:f>IF(E39=0,"n.a.",F39/E39)</x:f>
        <x:v>0.8662425195989429</x:v>
      </x:c>
      <x:c r="I39" s="14" t="n">
        <x:f>IF(G39=0,"n.a.",F39/G39)</x:f>
        <x:v>0.7521004965122856</x:v>
      </x:c>
      <x:c r="J39" s="12" t="n">
        <x:f>IF(H39=0,"n.a.",D39/H39)</x:f>
        <x:v>3299.9994966726963</x:v>
      </x:c>
      <x:c r="K39" s="3" t="str">
        <x:f>IF(OR(H39&lt;$B$5,I39&lt;$D$5),"بازبینی","پایدار")</x:f>
        <x:v>بازبینی</x:v>
      </x:c>
    </x:row>
    <x:row r="40" ht="27" customHeight="1">
      <x:c r="A40" s="3" t="n">
        <x:v>32</x:v>
      </x:c>
      <x:c r="B40" s="3" t="str">
        <x:v>مجموعه سپهر 3</x:v>
      </x:c>
      <x:c r="C40" s="3" t="str">
        <x:v>ساخت صنعتی</x:v>
      </x:c>
      <x:c r="D40" s="13" t="n">
        <x:v>1736.016579259</x:v>
      </x:c>
      <x:c r="E40" s="13" t="n">
        <x:v>1669.558407655</x:v>
      </x:c>
      <x:c r="F40" s="13" t="n">
        <x:v>1736.016579259</x:v>
      </x:c>
      <x:c r="G40" s="13" t="n">
        <x:v>1736.016579259</x:v>
      </x:c>
      <x:c r="H40" s="14" t="n">
        <x:f>IF(E40=0,"n.a.",F40/E40)</x:f>
        <x:v>1.039805838058307</x:v>
      </x:c>
      <x:c r="I40" s="14" t="n">
        <x:f>IF(G40=0,"n.a.",F40/G40)</x:f>
        <x:v>1</x:v>
      </x:c>
      <x:c r="J40" s="12" t="n">
        <x:f>IF(H40=0,"n.a.",D40/H40)</x:f>
        <x:v>1669.558407655</x:v>
      </x:c>
      <x:c r="K40" s="3" t="str">
        <x:f>IF(OR(H40&lt;$B$5,I40&lt;$D$5),"بازبینی","پایدار")</x:f>
        <x:v>پایدار</x:v>
      </x:c>
    </x:row>
    <x:row r="41" ht="27" customHeight="1">
      <x:c r="A41" s="3" t="n">
        <x:v>33</x:v>
      </x:c>
      <x:c r="B41" s="3" t="str">
        <x:v>مجتمع اداری 3</x:v>
      </x:c>
      <x:c r="C41" s="3" t="str">
        <x:v>ساخت صنعتی</x:v>
      </x:c>
      <x:c r="D41" s="13" t="n">
        <x:v>2178.388461781</x:v>
      </x:c>
      <x:c r="E41" s="13" t="n">
        <x:v>2151.672627381</x:v>
      </x:c>
      <x:c r="F41" s="13" t="n">
        <x:v>2178.388461781</x:v>
      </x:c>
      <x:c r="G41" s="13" t="n">
        <x:v>2178.388461781</x:v>
      </x:c>
      <x:c r="H41" s="14" t="n">
        <x:f>IF(E41=0,"n.a.",F41/E41)</x:f>
        <x:v>1.0124163100185544</x:v>
      </x:c>
      <x:c r="I41" s="14" t="n">
        <x:f>IF(G41=0,"n.a.",F41/G41)</x:f>
        <x:v>1</x:v>
      </x:c>
      <x:c r="J41" s="12" t="n">
        <x:f>IF(H41=0,"n.a.",D41/H41)</x:f>
        <x:v>2151.672627381</x:v>
      </x:c>
      <x:c r="K41" s="3" t="str">
        <x:f>IF(OR(H41&lt;$B$5,I41&lt;$D$5),"بازبینی","پایدار")</x:f>
        <x:v>پایدار</x:v>
      </x:c>
    </x:row>
    <x:row r="42" ht="27" customHeight="1">
      <x:c r="A42" s="3" t="n">
        <x:v>34</x:v>
      </x:c>
      <x:c r="B42" s="3" t="str">
        <x:v>بازآفرینی نارون 3</x:v>
      </x:c>
      <x:c r="C42" s="3" t="str">
        <x:v>ساخت صنعتی</x:v>
      </x:c>
      <x:c r="D42" s="13" t="n">
        <x:v>1688.673346692</x:v>
      </x:c>
      <x:c r="E42" s="13" t="n">
        <x:v>1533.920805362</x:v>
      </x:c>
      <x:c r="F42" s="13" t="n">
        <x:v>1526.019956541</x:v>
      </x:c>
      <x:c r="G42" s="13" t="n">
        <x:v>1460.474245787</x:v>
      </x:c>
      <x:c r="H42" s="14" t="n">
        <x:f>IF(E42=0,"n.a.",F42/E42)</x:f>
        <x:v>0.9948492459366992</x:v>
      </x:c>
      <x:c r="I42" s="14" t="n">
        <x:f>IF(G42=0,"n.a.",F42/G42)</x:f>
        <x:v>1.0448797443317324</x:v>
      </x:c>
      <x:c r="J42" s="12" t="n">
        <x:f>IF(H42=0,"n.a.",D42/H42)</x:f>
        <x:v>1697.416320702974</x:v>
      </x:c>
      <x:c r="K42" s="3" t="str">
        <x:f>IF(OR(H42&lt;$B$5,I42&lt;$D$5),"بازبینی","پایدار")</x:f>
        <x:v>پایدار</x:v>
      </x:c>
    </x:row>
    <x:row r="43" ht="27" customHeight="1">
      <x:c r="A43" s="3" t="n">
        <x:v>35</x:v>
      </x:c>
      <x:c r="B43" s="3" t="str">
        <x:v>پردیس انرژی 3</x:v>
      </x:c>
      <x:c r="C43" s="3" t="str">
        <x:v>ساخت صنعتی</x:v>
      </x:c>
      <x:c r="D43" s="13" t="n">
        <x:v>2699.69616911</x:v>
      </x:c>
      <x:c r="E43" s="13" t="n">
        <x:v>2034.529557583</x:v>
      </x:c>
      <x:c r="F43" s="13" t="n">
        <x:v>2023.747207895</x:v>
      </x:c>
      <x:c r="G43" s="13" t="n">
        <x:v>1989.249808817</x:v>
      </x:c>
      <x:c r="H43" s="14" t="n">
        <x:f>IF(E43=0,"n.a.",F43/E43)</x:f>
        <x:v>0.9947003229086485</x:v>
      </x:c>
      <x:c r="I43" s="14" t="n">
        <x:f>IF(G43=0,"n.a.",F43/G43)</x:f>
        <x:v>1.0173419139844058</x:v>
      </x:c>
      <x:c r="J43" s="12" t="n">
        <x:f>IF(H43=0,"n.a.",D43/H43)</x:f>
        <x:v>2714.079916266334</x:v>
      </x:c>
      <x:c r="K43" s="3" t="str">
        <x:f>IF(OR(H43&lt;$B$5,I43&lt;$D$5),"بازبینی","پایدار")</x:f>
        <x:v>پایدار</x:v>
      </x:c>
    </x:row>
    <x:row r="44" ht="27" customHeight="1">
      <x:c r="A44" s="3" t="n">
        <x:v>36</x:v>
      </x:c>
      <x:c r="B44" s="3" t="str">
        <x:v>سازه افق 3</x:v>
      </x:c>
      <x:c r="C44" s="3" t="str">
        <x:v>ساخت صنعتی</x:v>
      </x:c>
      <x:c r="D44" s="13" t="n">
        <x:v>3064.972629087</x:v>
      </x:c>
      <x:c r="E44" s="13" t="n">
        <x:v>1975.001014214</x:v>
      </x:c>
      <x:c r="F44" s="13" t="n">
        <x:v>2005.44398664</x:v>
      </x:c>
      <x:c r="G44" s="13" t="n">
        <x:v>2200.4931696</x:v>
      </x:c>
      <x:c r="H44" s="14" t="n">
        <x:f>IF(E44=0,"n.a.",F44/E44)</x:f>
        <x:v>1.0154141553381002</x:v>
      </x:c>
      <x:c r="I44" s="14" t="n">
        <x:f>IF(G44=0,"n.a.",F44/G44)</x:f>
        <x:v>0.9113611504663496</x:v>
      </x:c>
      <x:c r="J44" s="12" t="n">
        <x:f>IF(H44=0,"n.a.",D44/H44)</x:f>
        <x:v>3018.445836089869</x:v>
      </x:c>
      <x:c r="K44" s="3" t="str">
        <x:f>IF(OR(H44&lt;$B$5,I44&lt;$D$5),"بازبینی","پایدار")</x:f>
        <x:v>پایدار</x:v>
      </x:c>
    </x:row>
    <x:row r="45" ht="27" customHeight="1">
      <x:c r="A45" s="3" t="n">
        <x:v>37</x:v>
      </x:c>
      <x:c r="B45" s="3" t="str">
        <x:v>برج آفتاب 4</x:v>
      </x:c>
      <x:c r="C45" s="3" t="str">
        <x:v>بازآفرینی</x:v>
      </x:c>
      <x:c r="D45" s="13" t="n">
        <x:v>2766.514607594</x:v>
      </x:c>
      <x:c r="E45" s="13" t="n">
        <x:v>2662.690817713</x:v>
      </x:c>
      <x:c r="F45" s="13" t="n">
        <x:v>2766.514607594</x:v>
      </x:c>
      <x:c r="G45" s="13" t="n">
        <x:v>2766.514607594</x:v>
      </x:c>
      <x:c r="H45" s="14" t="n">
        <x:f>IF(E45=0,"n.a.",F45/E45)</x:f>
        <x:v>1.038992056152496</x:v>
      </x:c>
      <x:c r="I45" s="14" t="n">
        <x:f>IF(G45=0,"n.a.",F45/G45)</x:f>
        <x:v>1</x:v>
      </x:c>
      <x:c r="J45" s="12" t="n">
        <x:f>IF(H45=0,"n.a.",D45/H45)</x:f>
        <x:v>2662.6908177129994</x:v>
      </x:c>
      <x:c r="K45" s="3" t="str">
        <x:f>IF(OR(H45&lt;$B$5,I45&lt;$D$5),"بازبینی","پایدار")</x:f>
        <x:v>پایدار</x:v>
      </x:c>
    </x:row>
    <x:row r="46" ht="27" customHeight="1">
      <x:c r="A46" s="3" t="n">
        <x:v>38</x:v>
      </x:c>
      <x:c r="B46" s="3" t="str">
        <x:v>پردیس آبان 4</x:v>
      </x:c>
      <x:c r="C46" s="3" t="str">
        <x:v>بازآفرینی</x:v>
      </x:c>
      <x:c r="D46" s="13" t="n">
        <x:v>2474.72052657</x:v>
      </x:c>
      <x:c r="E46" s="13" t="n">
        <x:v>1703.426596189</x:v>
      </x:c>
      <x:c r="F46" s="13" t="n">
        <x:v>1674.467442113</x:v>
      </x:c>
      <x:c r="G46" s="13" t="n">
        <x:v>1693.229833968</x:v>
      </x:c>
      <x:c r="H46" s="14" t="n">
        <x:f>IF(E46=0,"n.a.",F46/E46)</x:f>
        <x:v>0.9829994705138518</x:v>
      </x:c>
      <x:c r="I46" s="14" t="n">
        <x:f>IF(G46=0,"n.a.",F46/G46)</x:f>
        <x:v>0.9889191700508658</x:v>
      </x:c>
      <x:c r="J46" s="12" t="n">
        <x:f>IF(H46=0,"n.a.",D46/H46)</x:f>
        <x:v>2517.5196943660285</x:v>
      </x:c>
      <x:c r="K46" s="3" t="str">
        <x:f>IF(OR(H46&lt;$B$5,I46&lt;$D$5),"بازبینی","پایدار")</x:f>
        <x:v>پایدار</x:v>
      </x:c>
    </x:row>
    <x:row r="47" ht="27" customHeight="1">
      <x:c r="A47" s="3" t="n">
        <x:v>39</x:v>
      </x:c>
      <x:c r="B47" s="3" t="str">
        <x:v>باغ‌شهر سپید 4</x:v>
      </x:c>
      <x:c r="C47" s="3" t="str">
        <x:v>بازآفرینی</x:v>
      </x:c>
      <x:c r="D47" s="13" t="n">
        <x:v>2258.089946312</x:v>
      </x:c>
      <x:c r="E47" s="13" t="n">
        <x:v>2212.525094908</x:v>
      </x:c>
      <x:c r="F47" s="13" t="n">
        <x:v>2258.089946312</x:v>
      </x:c>
      <x:c r="G47" s="13" t="n">
        <x:v>2258.089946312</x:v>
      </x:c>
      <x:c r="H47" s="14" t="n">
        <x:f>IF(E47=0,"n.a.",F47/E47)</x:f>
        <x:v>1.0205940495359194</x:v>
      </x:c>
      <x:c r="I47" s="14" t="n">
        <x:f>IF(G47=0,"n.a.",F47/G47)</x:f>
        <x:v>1</x:v>
      </x:c>
      <x:c r="J47" s="12" t="n">
        <x:f>IF(H47=0,"n.a.",D47/H47)</x:f>
        <x:v>2212.525094908</x:v>
      </x:c>
      <x:c r="K47" s="3" t="str">
        <x:f>IF(OR(H47&lt;$B$5,I47&lt;$D$5),"بازبینی","پایدار")</x:f>
        <x:v>پایدار</x:v>
      </x:c>
    </x:row>
    <x:row r="48" ht="27" customHeight="1">
      <x:c r="A48" s="3" t="n">
        <x:v>40</x:v>
      </x:c>
      <x:c r="B48" s="3" t="str">
        <x:v>مجتمع آتریوم 4</x:v>
      </x:c>
      <x:c r="C48" s="3" t="str">
        <x:v>بازآفرینی</x:v>
      </x:c>
      <x:c r="D48" s="13" t="n">
        <x:v>3163.135930387</x:v>
      </x:c>
      <x:c r="E48" s="13" t="n">
        <x:v>3092.571848395</x:v>
      </x:c>
      <x:c r="F48" s="13" t="n">
        <x:v>3163.135930387</x:v>
      </x:c>
      <x:c r="G48" s="13" t="n">
        <x:v>3163.135930387</x:v>
      </x:c>
      <x:c r="H48" s="14" t="n">
        <x:f>IF(E48=0,"n.a.",F48/E48)</x:f>
        <x:v>1.0228172813603738</x:v>
      </x:c>
      <x:c r="I48" s="14" t="n">
        <x:f>IF(G48=0,"n.a.",F48/G48)</x:f>
        <x:v>1</x:v>
      </x:c>
      <x:c r="J48" s="12" t="n">
        <x:f>IF(H48=0,"n.a.",D48/H48)</x:f>
        <x:v>3092.571848395</x:v>
      </x:c>
      <x:c r="K48" s="3" t="str">
        <x:f>IF(OR(H48&lt;$B$5,I48&lt;$D$5),"بازبینی","پایدار")</x:f>
        <x:v>پایدار</x:v>
      </x:c>
    </x:row>
    <x:row r="49" ht="27" customHeight="1">
      <x:c r="A49" s="3" t="n">
        <x:v>41</x:v>
      </x:c>
      <x:c r="B49" s="3" t="str">
        <x:v>پارک فناوری 4</x:v>
      </x:c>
      <x:c r="C49" s="3" t="str">
        <x:v>بازآفرینی</x:v>
      </x:c>
      <x:c r="D49" s="13" t="n">
        <x:v>2199.5179573</x:v>
      </x:c>
      <x:c r="E49" s="13" t="n">
        <x:v>2018.384820266</x:v>
      </x:c>
      <x:c r="F49" s="13" t="n">
        <x:v>2079.946925015</x:v>
      </x:c>
      <x:c r="G49" s="13" t="n">
        <x:v>2199.5179573</x:v>
      </x:c>
      <x:c r="H49" s="14" t="n">
        <x:f>IF(E49=0,"n.a.",F49/E49)</x:f>
        <x:v>1.0305006776363326</x:v>
      </x:c>
      <x:c r="I49" s="14" t="n">
        <x:f>IF(G49=0,"n.a.",F49/G49)</x:f>
        <x:v>0.9456376194210396</x:v>
      </x:c>
      <x:c r="J49" s="12" t="n">
        <x:f>IF(H49=0,"n.a.",D49/H49)</x:f>
        <x:v>2134.416798584792</x:v>
      </x:c>
      <x:c r="K49" s="3" t="str">
        <x:f>IF(OR(H49&lt;$B$5,I49&lt;$D$5),"بازبینی","پایدار")</x:f>
        <x:v>پایدار</x:v>
      </x:c>
    </x:row>
    <x:row r="50" ht="27" customHeight="1">
      <x:c r="A50" s="3" t="n">
        <x:v>42</x:v>
      </x:c>
      <x:c r="B50" s="3" t="str">
        <x:v>مرکز لجستیک 4</x:v>
      </x:c>
      <x:c r="C50" s="3" t="str">
        <x:v>بازآفرینی</x:v>
      </x:c>
      <x:c r="D50" s="13" t="n">
        <x:v>3694.593983065</x:v>
      </x:c>
      <x:c r="E50" s="13" t="n">
        <x:v>3333.466316611</x:v>
      </x:c>
      <x:c r="F50" s="13" t="n">
        <x:v>3427.35291075</x:v>
      </x:c>
      <x:c r="G50" s="13" t="n">
        <x:v>3477.264925237</x:v>
      </x:c>
      <x:c r="H50" s="14" t="n">
        <x:f>IF(E50=0,"n.a.",F50/E50)</x:f>
        <x:v>1.028164854605296</x:v>
      </x:c>
      <x:c r="I50" s="14" t="n">
        <x:f>IF(G50=0,"n.a.",F50/G50)</x:f>
        <x:v>0.9856461858500475</x:v>
      </x:c>
      <x:c r="J50" s="12" t="n">
        <x:f>IF(H50=0,"n.a.",D50/H50)</x:f>
        <x:v>3593.386767225499</x:v>
      </x:c>
      <x:c r="K50" s="3" t="str">
        <x:f>IF(OR(H50&lt;$B$5,I50&lt;$D$5),"بازبینی","پایدار")</x:f>
        <x:v>پایدار</x:v>
      </x:c>
    </x:row>
    <x:row r="51" ht="27" customHeight="1">
      <x:c r="A51" s="3" t="n">
        <x:v>43</x:v>
      </x:c>
      <x:c r="B51" s="3" t="str">
        <x:v>کارخانه توسعه 4</x:v>
      </x:c>
      <x:c r="C51" s="3" t="str">
        <x:v>بازآفرینی</x:v>
      </x:c>
      <x:c r="D51" s="13" t="n">
        <x:v>3559.806919993</x:v>
      </x:c>
      <x:c r="E51" s="13" t="n">
        <x:v>2863.231600855</x:v>
      </x:c>
      <x:c r="F51" s="13" t="n">
        <x:v>2937.670760985</x:v>
      </x:c>
      <x:c r="G51" s="13" t="n">
        <x:v>3068.799068959</x:v>
      </x:c>
      <x:c r="H51" s="14" t="n">
        <x:f>IF(E51=0,"n.a.",F51/E51)</x:f>
        <x:v>1.0259983020960552</x:v>
      </x:c>
      <x:c r="I51" s="14" t="n">
        <x:f>IF(G51=0,"n.a.",F51/G51)</x:f>
        <x:v>0.9572704810489656</x:v>
      </x:c>
      <x:c r="J51" s="12" t="n">
        <x:f>IF(H51=0,"n.a.",D51/H51)</x:f>
        <x:v>3469.6031296743085</x:v>
      </x:c>
      <x:c r="K51" s="3" t="str">
        <x:f>IF(OR(H51&lt;$B$5,I51&lt;$D$5),"بازبینی","پایدار")</x:f>
        <x:v>پایدار</x:v>
      </x:c>
    </x:row>
    <x:row r="52" ht="27" customHeight="1">
      <x:c r="A52" s="3" t="n">
        <x:v>44</x:v>
      </x:c>
      <x:c r="B52" s="3" t="str">
        <x:v>مجموعه سپهر 4</x:v>
      </x:c>
      <x:c r="C52" s="3" t="str">
        <x:v>بازآفرینی</x:v>
      </x:c>
      <x:c r="D52" s="13" t="n">
        <x:v>2518.091664978</x:v>
      </x:c>
      <x:c r="E52" s="13" t="n">
        <x:v>1468.144031505</x:v>
      </x:c>
      <x:c r="F52" s="13" t="n">
        <x:v>1258.838763082</x:v>
      </x:c>
      <x:c r="G52" s="13" t="n">
        <x:v>1918.546030459</x:v>
      </x:c>
      <x:c r="H52" s="14" t="n">
        <x:f>IF(E52=0,"n.a.",F52/E52)</x:f>
        <x:v>0.857435466867348</x:v>
      </x:c>
      <x:c r="I52" s="14" t="n">
        <x:f>IF(G52=0,"n.a.",F52/G52)</x:f>
        <x:v>0.6561420696176004</x:v>
      </x:c>
      <x:c r="J52" s="12" t="n">
        <x:f>IF(H52=0,"n.a.",D52/H52)</x:f>
        <x:v>2936.771060075089</x:v>
      </x:c>
      <x:c r="K52" s="3" t="str">
        <x:f>IF(OR(H52&lt;$B$5,I52&lt;$D$5),"بازبینی","پایدار")</x:f>
        <x:v>بازبینی</x:v>
      </x:c>
    </x:row>
    <x:row r="53" ht="27" customHeight="1">
      <x:c r="A53" s="3" t="n">
        <x:v>45</x:v>
      </x:c>
      <x:c r="B53" s="3" t="str">
        <x:v>مجتمع اداری 4</x:v>
      </x:c>
      <x:c r="C53" s="3" t="str">
        <x:v>بازآفرینی</x:v>
      </x:c>
      <x:c r="D53" s="13" t="n">
        <x:v>2100.372130411</x:v>
      </x:c>
      <x:c r="E53" s="13" t="n">
        <x:v>1998.725754864</x:v>
      </x:c>
      <x:c r="F53" s="13" t="n">
        <x:v>2070.883358424</x:v>
      </x:c>
      <x:c r="G53" s="13" t="n">
        <x:v>2100.372130411</x:v>
      </x:c>
      <x:c r="H53" s="14" t="n">
        <x:f>IF(E53=0,"n.a.",F53/E53)</x:f>
        <x:v>1.036101803053471</x:v>
      </x:c>
      <x:c r="I53" s="14" t="n">
        <x:f>IF(G53=0,"n.a.",F53/G53)</x:f>
        <x:v>0.9859602155446475</x:v>
      </x:c>
      <x:c r="J53" s="12" t="n">
        <x:f>IF(H53=0,"n.a.",D53/H53)</x:f>
        <x:v>2027.187023727826</x:v>
      </x:c>
      <x:c r="K53" s="3" t="str">
        <x:f>IF(OR(H53&lt;$B$5,I53&lt;$D$5),"بازبینی","پایدار")</x:f>
        <x:v>پایدار</x:v>
      </x:c>
    </x:row>
    <x:row r="54" ht="27" customHeight="1">
      <x:c r="A54" s="3" t="n">
        <x:v>46</x:v>
      </x:c>
      <x:c r="B54" s="3" t="str">
        <x:v>بازآفرینی نارون 4</x:v>
      </x:c>
      <x:c r="C54" s="3" t="str">
        <x:v>بازآفرینی</x:v>
      </x:c>
      <x:c r="D54" s="13" t="n">
        <x:v>2238.245183359</x:v>
      </x:c>
      <x:c r="E54" s="13" t="n">
        <x:v>2151.49194772</x:v>
      </x:c>
      <x:c r="F54" s="13" t="n">
        <x:v>2238.245183359</x:v>
      </x:c>
      <x:c r="G54" s="13" t="n">
        <x:v>2170.419571742</x:v>
      </x:c>
      <x:c r="H54" s="14" t="n">
        <x:f>IF(E54=0,"n.a.",F54/E54)</x:f>
        <x:v>1.0403223612948842</x:v>
      </x:c>
      <x:c r="I54" s="14" t="n">
        <x:f>IF(G54=0,"n.a.",F54/G54)</x:f>
        <x:v>1.0312500000000289</x:v>
      </x:c>
      <x:c r="J54" s="12" t="n">
        <x:f>IF(H54=0,"n.a.",D54/H54)</x:f>
        <x:v>2151.49194772</x:v>
      </x:c>
      <x:c r="K54" s="3" t="str">
        <x:f>IF(OR(H54&lt;$B$5,I54&lt;$D$5),"بازبینی","پایدار")</x:f>
        <x:v>پایدار</x:v>
      </x:c>
    </x:row>
    <x:row r="55" ht="27" customHeight="1">
      <x:c r="A55" s="3" t="n">
        <x:v>47</x:v>
      </x:c>
      <x:c r="B55" s="3" t="str">
        <x:v>پردیس انرژی 4</x:v>
      </x:c>
      <x:c r="C55" s="3" t="str">
        <x:v>بازآفرینی</x:v>
      </x:c>
      <x:c r="D55" s="13" t="n">
        <x:v>3453.844434153</x:v>
      </x:c>
      <x:c r="E55" s="13" t="n">
        <x:v>2673.456499335</x:v>
      </x:c>
      <x:c r="F55" s="13" t="n">
        <x:v>2728.673503962</x:v>
      </x:c>
      <x:c r="G55" s="13" t="n">
        <x:v>2800.41440607</x:v>
      </x:c>
      <x:c r="H55" s="14" t="n">
        <x:f>IF(E55=0,"n.a.",F55/E55)</x:f>
        <x:v>1.0206537883226208</x:v>
      </x:c>
      <x:c r="I55" s="14" t="n">
        <x:f>IF(G55=0,"n.a.",F55/G55)</x:f>
        <x:v>0.9743820407606463</x:v>
      </x:c>
      <x:c r="J55" s="12" t="n">
        <x:f>IF(H55=0,"n.a.",D55/H55)</x:f>
        <x:v>3383.9529854968473</x:v>
      </x:c>
      <x:c r="K55" s="3" t="str">
        <x:f>IF(OR(H55&lt;$B$5,I55&lt;$D$5),"بازبینی","پایدار")</x:f>
        <x:v>پایدار</x:v>
      </x:c>
    </x:row>
    <x:row r="56" ht="27" customHeight="1">
      <x:c r="A56" s="3" t="n">
        <x:v>48</x:v>
      </x:c>
      <x:c r="B56" s="3" t="str">
        <x:v>سازه افق 4</x:v>
      </x:c>
      <x:c r="C56" s="3" t="str">
        <x:v>بازآفرینی</x:v>
      </x:c>
      <x:c r="D56" s="13" t="n">
        <x:v>2361.557086796</x:v>
      </x:c>
      <x:c r="E56" s="13" t="n">
        <x:v>2000.021255449</x:v>
      </x:c>
      <x:c r="F56" s="13" t="n">
        <x:v>2049.475188617</x:v>
      </x:c>
      <x:c r="G56" s="13" t="n">
        <x:v>2164.760662896</x:v>
      </x:c>
      <x:c r="H56" s="14" t="n">
        <x:f>IF(E56=0,"n.a.",F56/E56)</x:f>
        <x:v>1.0247267037954044</x:v>
      </x:c>
      <x:c r="I56" s="14" t="n">
        <x:f>IF(G56=0,"n.a.",F56/G56)</x:f>
        <x:v>0.9467444709916467</x:v>
      </x:c>
      <x:c r="J56" s="12" t="n">
        <x:f>IF(H56=0,"n.a.",D56/H56)</x:f>
        <x:v>2304.5726026746593</x:v>
      </x:c>
      <x:c r="K56" s="3" t="str">
        <x:f>IF(OR(H56&lt;$B$5,I56&lt;$D$5),"بازبینی","پایدار")</x:f>
        <x:v>پایدار</x:v>
      </x:c>
    </x:row>
    <x:row r="57" ht="27" customHeight="1">
      <x:c r="A57" s="3" t="n">
        <x:v>49</x:v>
      </x:c>
      <x:c r="B57" s="3" t="str">
        <x:v>برج آفتاب 5</x:v>
      </x:c>
      <x:c r="C57" s="3" t="str">
        <x:v>تأسیسات و انرژی</x:v>
      </x:c>
      <x:c r="D57" s="13" t="n">
        <x:v>1480.945862156</x:v>
      </x:c>
      <x:c r="E57" s="13" t="n">
        <x:v>1430.681421413</x:v>
      </x:c>
      <x:c r="F57" s="13" t="n">
        <x:v>1480.945862156</x:v>
      </x:c>
      <x:c r="G57" s="13" t="n">
        <x:v>1480.945862156</x:v>
      </x:c>
      <x:c r="H57" s="14" t="n">
        <x:f>IF(E57=0,"n.a.",F57/E57)</x:f>
        <x:v>1.0351332169347365</x:v>
      </x:c>
      <x:c r="I57" s="14" t="n">
        <x:f>IF(G57=0,"n.a.",F57/G57)</x:f>
        <x:v>1</x:v>
      </x:c>
      <x:c r="J57" s="12" t="n">
        <x:f>IF(H57=0,"n.a.",D57/H57)</x:f>
        <x:v>1430.681421413</x:v>
      </x:c>
      <x:c r="K57" s="3" t="str">
        <x:f>IF(OR(H57&lt;$B$5,I57&lt;$D$5),"بازبینی","پایدار")</x:f>
        <x:v>پایدار</x:v>
      </x:c>
    </x:row>
    <x:row r="58" ht="27" customHeight="1">
      <x:c r="A58" s="3" t="n">
        <x:v>50</x:v>
      </x:c>
      <x:c r="B58" s="3" t="str">
        <x:v>پردیس آبان 5</x:v>
      </x:c>
      <x:c r="C58" s="3" t="str">
        <x:v>تأسیسات و انرژی</x:v>
      </x:c>
      <x:c r="D58" s="13" t="n">
        <x:v>3978.888325631</x:v>
      </x:c>
      <x:c r="E58" s="13" t="n">
        <x:v>2751.16650412</x:v>
      </x:c>
      <x:c r="F58" s="13" t="n">
        <x:v>2786.025071046</x:v>
      </x:c>
      <x:c r="G58" s="13" t="n">
        <x:v>2763.116892799</x:v>
      </x:c>
      <x:c r="H58" s="14" t="n">
        <x:f>IF(E58=0,"n.a.",F58/E58)</x:f>
        <x:v>1.0126704679174443</x:v>
      </x:c>
      <x:c r="I58" s="14" t="n">
        <x:f>IF(G58=0,"n.a.",F58/G58)</x:f>
        <x:v>1.00829070181819</x:v>
      </x:c>
      <x:c r="J58" s="12" t="n">
        <x:f>IF(H58=0,"n.a.",D58/H58)</x:f>
        <x:v>3929.104730202688</x:v>
      </x:c>
      <x:c r="K58" s="3" t="str">
        <x:f>IF(OR(H58&lt;$B$5,I58&lt;$D$5),"بازبینی","پایدار")</x:f>
        <x:v>پایدار</x:v>
      </x:c>
    </x:row>
    <x:row r="59" ht="27" customHeight="1">
      <x:c r="A59" s="3" t="n">
        <x:v>51</x:v>
      </x:c>
      <x:c r="B59" s="3" t="str">
        <x:v>باغ‌شهر سپید 5</x:v>
      </x:c>
      <x:c r="C59" s="3" t="str">
        <x:v>تأسیسات و انرژی</x:v>
      </x:c>
      <x:c r="D59" s="13" t="n">
        <x:v>2876.191657576</x:v>
      </x:c>
      <x:c r="E59" s="13" t="n">
        <x:v>2361.508674311</x:v>
      </x:c>
      <x:c r="F59" s="13" t="n">
        <x:v>2352.89025001</x:v>
      </x:c>
      <x:c r="G59" s="13" t="n">
        <x:v>2194.988370255</x:v>
      </x:c>
      <x:c r="H59" s="14" t="n">
        <x:f>IF(E59=0,"n.a.",F59/E59)</x:f>
        <x:v>0.9963504583342194</x:v>
      </x:c>
      <x:c r="I59" s="14" t="n">
        <x:f>IF(G59=0,"n.a.",F59/G59)</x:f>
        <x:v>1.0719374562046795</x:v>
      </x:c>
      <x:c r="J59" s="12" t="n">
        <x:f>IF(H59=0,"n.a.",D59/H59)</x:f>
        <x:v>2886.7268876301355</x:v>
      </x:c>
      <x:c r="K59" s="3" t="str">
        <x:f>IF(OR(H59&lt;$B$5,I59&lt;$D$5),"بازبینی","پایدار")</x:f>
        <x:v>پایدار</x:v>
      </x:c>
    </x:row>
    <x:row r="60" ht="27" customHeight="1">
      <x:c r="A60" s="3" t="n">
        <x:v>52</x:v>
      </x:c>
      <x:c r="B60" s="3" t="str">
        <x:v>مجتمع آتریوم 5</x:v>
      </x:c>
      <x:c r="C60" s="3" t="str">
        <x:v>تأسیسات و انرژی</x:v>
      </x:c>
      <x:c r="D60" s="13" t="n">
        <x:v>2974.134250858</x:v>
      </x:c>
      <x:c r="E60" s="13" t="n">
        <x:v>2286.519291124</x:v>
      </x:c>
      <x:c r="F60" s="13" t="n">
        <x:v>1985.297947486</x:v>
      </x:c>
      <x:c r="G60" s="13" t="n">
        <x:v>2889.158986547</x:v>
      </x:c>
      <x:c r="H60" s="14" t="n">
        <x:f>IF(E60=0,"n.a.",F60/E60)</x:f>
        <x:v>0.8682620589262877</x:v>
      </x:c>
      <x:c r="I60" s="14" t="n">
        <x:f>IF(G60=0,"n.a.",F60/G60)</x:f>
        <x:v>0.6871542745588894</x:v>
      </x:c>
      <x:c r="J60" s="12" t="n">
        <x:f>IF(H60=0,"n.a.",D60/H60)</x:f>
        <x:v>3425.387785037942</x:v>
      </x:c>
      <x:c r="K60" s="3" t="str">
        <x:f>IF(OR(H60&lt;$B$5,I60&lt;$D$5),"بازبینی","پایدار")</x:f>
        <x:v>بازبینی</x:v>
      </x:c>
    </x:row>
    <x:row r="61" ht="27" customHeight="1">
      <x:c r="A61" s="3" t="n">
        <x:v>53</x:v>
      </x:c>
      <x:c r="B61" s="3" t="str">
        <x:v>پارک فناوری 5</x:v>
      </x:c>
      <x:c r="C61" s="3" t="str">
        <x:v>تأسیسات و انرژی</x:v>
      </x:c>
      <x:c r="D61" s="13" t="n">
        <x:v>3200.255662574</x:v>
      </x:c>
      <x:c r="E61" s="13" t="n">
        <x:v>2423.666207517</x:v>
      </x:c>
      <x:c r="F61" s="13" t="n">
        <x:v>2464.545388461</x:v>
      </x:c>
      <x:c r="G61" s="13" t="n">
        <x:v>2489.087737557</x:v>
      </x:c>
      <x:c r="H61" s="14" t="n">
        <x:f>IF(E61=0,"n.a.",F61/E61)</x:f>
        <x:v>1.0168666711683372</x:v>
      </x:c>
      <x:c r="I61" s="14" t="n">
        <x:f>IF(G61=0,"n.a.",F61/G61)</x:f>
        <x:v>0.990140022496721</x:v>
      </x:c>
      <x:c r="J61" s="12" t="n">
        <x:f>IF(H61=0,"n.a.",D61/H61)</x:f>
        <x:v>3147.173324991604</x:v>
      </x:c>
      <x:c r="K61" s="3" t="str">
        <x:f>IF(OR(H61&lt;$B$5,I61&lt;$D$5),"بازبینی","پایدار")</x:f>
        <x:v>پایدار</x:v>
      </x:c>
    </x:row>
    <x:row r="62" ht="27" customHeight="1">
      <x:c r="A62" s="3" t="n">
        <x:v>54</x:v>
      </x:c>
      <x:c r="B62" s="3" t="str">
        <x:v>مرکز لجستیک 5</x:v>
      </x:c>
      <x:c r="C62" s="3" t="str">
        <x:v>تأسیسات و انرژی</x:v>
      </x:c>
      <x:c r="D62" s="13" t="n">
        <x:v>3688.92559541</x:v>
      </x:c>
      <x:c r="E62" s="13" t="n">
        <x:v>2671.560544821</x:v>
      </x:c>
      <x:c r="F62" s="13" t="n">
        <x:v>2734.892998186</x:v>
      </x:c>
      <x:c r="G62" s="13" t="n">
        <x:v>2553.871566053</x:v>
      </x:c>
      <x:c r="H62" s="14" t="n">
        <x:f>IF(E62=0,"n.a.",F62/E62)</x:f>
        <x:v>1.023706164356924</x:v>
      </x:c>
      <x:c r="I62" s="14" t="n">
        <x:f>IF(G62=0,"n.a.",F62/G62)</x:f>
        <x:v>1.0708811807685255</x:v>
      </x:c>
      <x:c r="J62" s="12" t="n">
        <x:f>IF(H62=0,"n.a.",D62/H62)</x:f>
        <x:v>3603.5004221424456</x:v>
      </x:c>
      <x:c r="K62" s="3" t="str">
        <x:f>IF(OR(H62&lt;$B$5,I62&lt;$D$5),"بازبینی","پایدار")</x:f>
        <x:v>پایدار</x:v>
      </x:c>
    </x:row>
    <x:row r="63" ht="27" customHeight="1">
      <x:c r="A63" s="3" t="n">
        <x:v>55</x:v>
      </x:c>
      <x:c r="B63" s="3" t="str">
        <x:v>کارخانه توسعه 5</x:v>
      </x:c>
      <x:c r="C63" s="3" t="str">
        <x:v>تأسیسات و انرژی</x:v>
      </x:c>
      <x:c r="D63" s="13" t="n">
        <x:v>2497.150397939</x:v>
      </x:c>
      <x:c r="E63" s="13" t="n">
        <x:v>2119.077654486</x:v>
      </x:c>
      <x:c r="F63" s="13" t="n">
        <x:v>2177.501616394</x:v>
      </x:c>
      <x:c r="G63" s="13" t="n">
        <x:v>2345.807949579</x:v>
      </x:c>
      <x:c r="H63" s="14" t="n">
        <x:f>IF(E63=0,"n.a.",F63/E63)</x:f>
        <x:v>1.0275704676439388</x:v>
      </x:c>
      <x:c r="I63" s="14" t="n">
        <x:f>IF(G63=0,"n.a.",F63/G63)</x:f>
        <x:v>0.928252296521032</x:v>
      </x:c>
      <x:c r="J63" s="12" t="n">
        <x:f>IF(H63=0,"n.a.",D63/H63)</x:f>
        <x:v>2430.150025296642</x:v>
      </x:c>
      <x:c r="K63" s="3" t="str">
        <x:f>IF(OR(H63&lt;$B$5,I63&lt;$D$5),"بازبینی","پایدار")</x:f>
        <x:v>پایدار</x:v>
      </x:c>
    </x:row>
    <x:row r="64" ht="27" customHeight="1">
      <x:c r="A64" s="3" t="n">
        <x:v>56</x:v>
      </x:c>
      <x:c r="B64" s="3" t="str">
        <x:v>مجموعه سپهر 5</x:v>
      </x:c>
      <x:c r="C64" s="3" t="str">
        <x:v>تأسیسات و انرژی</x:v>
      </x:c>
      <x:c r="D64" s="13" t="n">
        <x:v>3450.915236956</x:v>
      </x:c>
      <x:c r="E64" s="13" t="n">
        <x:v>3427.624173834</x:v>
      </x:c>
      <x:c r="F64" s="13" t="n">
        <x:v>3435.131100859</x:v>
      </x:c>
      <x:c r="G64" s="13" t="n">
        <x:v>3450.915236956</x:v>
      </x:c>
      <x:c r="H64" s="14" t="n">
        <x:f>IF(E64=0,"n.a.",F64/E64)</x:f>
        <x:v>1.002190125475922</x:v>
      </x:c>
      <x:c r="I64" s="14" t="n">
        <x:f>IF(G64=0,"n.a.",F64/G64)</x:f>
        <x:v>0.9954261014794084</x:v>
      </x:c>
      <x:c r="J64" s="12" t="n">
        <x:f>IF(H64=0,"n.a.",D64/H64)</x:f>
        <x:v>3443.3738162379345</x:v>
      </x:c>
      <x:c r="K64" s="3" t="str">
        <x:f>IF(OR(H64&lt;$B$5,I64&lt;$D$5),"بازبینی","پایدار")</x:f>
        <x:v>پایدار</x:v>
      </x:c>
    </x:row>
    <x:row r="65" ht="27" customHeight="1">
      <x:c r="A65" s="3" t="n">
        <x:v>57</x:v>
      </x:c>
      <x:c r="B65" s="3" t="str">
        <x:v>مجتمع اداری 5</x:v>
      </x:c>
      <x:c r="C65" s="3" t="str">
        <x:v>تأسیسات و انرژی</x:v>
      </x:c>
      <x:c r="D65" s="13" t="n">
        <x:v>2162.342788139</x:v>
      </x:c>
      <x:c r="E65" s="13" t="n">
        <x:v>1874.610081209</x:v>
      </x:c>
      <x:c r="F65" s="13" t="n">
        <x:v>1660.599292813</x:v>
      </x:c>
      <x:c r="G65" s="13" t="n">
        <x:v>2162.342788139</x:v>
      </x:c>
      <x:c r="H65" s="14" t="n">
        <x:f>IF(E65=0,"n.a.",F65/E65)</x:f>
        <x:v>0.8858371719317879</x:v>
      </x:c>
      <x:c r="I65" s="14" t="n">
        <x:f>IF(G65=0,"n.a.",F65/G65)</x:f>
        <x:v>0.7679630176685257</x:v>
      </x:c>
      <x:c r="J65" s="12" t="n">
        <x:f>IF(H65=0,"n.a.",D65/H65)</x:f>
        <x:v>2441.016088118626</x:v>
      </x:c>
      <x:c r="K65" s="3" t="str">
        <x:f>IF(OR(H65&lt;$B$5,I65&lt;$D$5),"بازبینی","پایدار")</x:f>
        <x:v>بازبینی</x:v>
      </x:c>
    </x:row>
    <x:row r="66" ht="27" customHeight="1">
      <x:c r="A66" s="3" t="n">
        <x:v>58</x:v>
      </x:c>
      <x:c r="B66" s="3" t="str">
        <x:v>بازآفرینی نارون 5</x:v>
      </x:c>
      <x:c r="C66" s="3" t="str">
        <x:v>تأسیسات و انرژی</x:v>
      </x:c>
      <x:c r="D66" s="13" t="n">
        <x:v>3769.630493557</x:v>
      </x:c>
      <x:c r="E66" s="13" t="n">
        <x:v>3675.176270363</x:v>
      </x:c>
      <x:c r="F66" s="13" t="n">
        <x:v>3699.926244426</x:v>
      </x:c>
      <x:c r="G66" s="13" t="n">
        <x:v>3769.630493557</x:v>
      </x:c>
      <x:c r="H66" s="14" t="n">
        <x:f>IF(E66=0,"n.a.",F66/E66)</x:f>
        <x:v>1.0067343638079582</x:v>
      </x:c>
      <x:c r="I66" s="14" t="n">
        <x:f>IF(G66=0,"n.a.",F66/G66)</x:f>
        <x:v>0.9815089969029756</x:v>
      </x:c>
      <x:c r="J66" s="12" t="n">
        <x:f>IF(H66=0,"n.a.",D66/H66)</x:f>
        <x:v>3744.414245778228</x:v>
      </x:c>
      <x:c r="K66" s="3" t="str">
        <x:f>IF(OR(H66&lt;$B$5,I66&lt;$D$5),"بازبینی","پایدار")</x:f>
        <x:v>پایدار</x:v>
      </x:c>
    </x:row>
    <x:row r="67" ht="27" customHeight="1">
      <x:c r="A67" s="3" t="n">
        <x:v>59</x:v>
      </x:c>
      <x:c r="B67" s="3" t="str">
        <x:v>پردیس انرژی 5</x:v>
      </x:c>
      <x:c r="C67" s="3" t="str">
        <x:v>تأسیسات و انرژی</x:v>
      </x:c>
      <x:c r="D67" s="13" t="n">
        <x:v>3716.094643604</x:v>
      </x:c>
      <x:c r="E67" s="13" t="n">
        <x:v>2758.371541508</x:v>
      </x:c>
      <x:c r="F67" s="13" t="n">
        <x:v>2701.183145866</x:v>
      </x:c>
      <x:c r="G67" s="13" t="n">
        <x:v>2903.198940315</x:v>
      </x:c>
      <x:c r="H67" s="14" t="n">
        <x:f>IF(E67=0,"n.a.",F67/E67)</x:f>
        <x:v>0.979267334084104</x:v>
      </x:c>
      <x:c r="I67" s="14" t="n">
        <x:f>IF(G67=0,"n.a.",F67/G67)</x:f>
        <x:v>0.9304161379905018</x:v>
      </x:c>
      <x:c r="J67" s="12" t="n">
        <x:f>IF(H67=0,"n.a.",D67/H67)</x:f>
        <x:v>3794.7703494874713</x:v>
      </x:c>
      <x:c r="K67" s="3" t="str">
        <x:f>IF(OR(H67&lt;$B$5,I67&lt;$D$5),"بازبینی","پایدار")</x:f>
        <x:v>پایدار</x:v>
      </x:c>
    </x:row>
    <x:row r="68" ht="27" customHeight="1">
      <x:c r="A68" s="3" t="n">
        <x:v>60</x:v>
      </x:c>
      <x:c r="B68" s="3" t="str">
        <x:v>سازه افق 5</x:v>
      </x:c>
      <x:c r="C68" s="3" t="str">
        <x:v>تأسیسات و انرژی</x:v>
      </x:c>
      <x:c r="D68" s="13" t="n">
        <x:v>1549.849558705</x:v>
      </x:c>
      <x:c r="E68" s="13" t="n">
        <x:v>1493.44078991</x:v>
      </x:c>
      <x:c r="F68" s="13" t="n">
        <x:v>1473.893524715</x:v>
      </x:c>
      <x:c r="G68" s="13" t="n">
        <x:v>1389.520294011</x:v>
      </x:c>
      <x:c r="H68" s="14" t="n">
        <x:f>IF(E68=0,"n.a.",F68/E68)</x:f>
        <x:v>0.9869112553192163</x:v>
      </x:c>
      <x:c r="I68" s="14" t="n">
        <x:f>IF(G68=0,"n.a.",F68/G68)</x:f>
        <x:v>1.0607211215753083</x:v>
      </x:c>
      <x:c r="J68" s="12" t="n">
        <x:f>IF(H68=0,"n.a.",D68/H68)</x:f>
        <x:v>1570.4041780369616</x:v>
      </x:c>
      <x:c r="K68" s="3" t="str">
        <x:f>IF(OR(H68&lt;$B$5,I68&lt;$D$5),"بازبینی","پایدار")</x:f>
        <x:v>پایدار</x:v>
      </x:c>
    </x:row>
    <x:row r="69" ht="27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</x:row>
  </x:sheetData>
  <x:conditionalFormatting sqref="K9:K68">
    <x:cfRule type="containsText" dxfId="0" priority="1" operator="containsText" text="بازبینی"/>
  </x:conditionalFormatting>
  <x:pageMargins left="0.7" right="0.7" top="0.75" bottom="0.75" header="0.3" footer="0.3"/>
</x:worksheet>
</file>